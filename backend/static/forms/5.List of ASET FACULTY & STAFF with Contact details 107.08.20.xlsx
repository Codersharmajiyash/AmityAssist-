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5" windowWidth="20055" windowHeight="7680"/>
  </bookViews>
  <sheets>
    <sheet name="File verificate team " sheetId="5" r:id="rId1"/>
    <sheet name="Active Teaching" sheetId="1" r:id="rId2"/>
    <sheet name="Non Teaching" sheetId="3" r:id="rId3"/>
    <sheet name="Sheet1" sheetId="4" r:id="rId4"/>
    <sheet name="Sheet3" sheetId="6" r:id="rId5"/>
  </sheets>
  <definedNames>
    <definedName name="_xlnm._FilterDatabase" localSheetId="1" hidden="1">'Active Teaching'!$A$3:$J$50</definedName>
    <definedName name="adfadfda" localSheetId="0">#REF!</definedName>
    <definedName name="adfadfda">#REF!</definedName>
    <definedName name="d" localSheetId="0">#REF!</definedName>
    <definedName name="d">#REF!</definedName>
    <definedName name="Table1" localSheetId="0">#REF!</definedName>
    <definedName name="Table1">#REF!</definedName>
  </definedNames>
  <calcPr calcId="124519"/>
</workbook>
</file>

<file path=xl/calcChain.xml><?xml version="1.0" encoding="utf-8"?>
<calcChain xmlns="http://schemas.openxmlformats.org/spreadsheetml/2006/main">
  <c r="D9" i="4"/>
</calcChain>
</file>

<file path=xl/sharedStrings.xml><?xml version="1.0" encoding="utf-8"?>
<sst xmlns="http://schemas.openxmlformats.org/spreadsheetml/2006/main" count="441" uniqueCount="287">
  <si>
    <t>Name</t>
  </si>
  <si>
    <t>Designation</t>
  </si>
  <si>
    <t>Mr. Nasir Khan</t>
  </si>
  <si>
    <t>Mr. Rohit Kumar Pandey</t>
  </si>
  <si>
    <t>Mr. Vivek Parashar</t>
  </si>
  <si>
    <t>Mrs. Amrita Parashar</t>
  </si>
  <si>
    <t>Mr. Varun Mishra</t>
  </si>
  <si>
    <t>Mr. Rajeev Goyal</t>
  </si>
  <si>
    <t>Ms. Madhavi Dhingra</t>
  </si>
  <si>
    <t>Ms. Divya Gautam</t>
  </si>
  <si>
    <t>Mr. Devendra Kumar Mishra</t>
  </si>
  <si>
    <t>Mr. Ashok Shrivastava</t>
  </si>
  <si>
    <t>Mr. Dinesh Sharma</t>
  </si>
  <si>
    <t>Mrs. Rinkoo Bhatia</t>
  </si>
  <si>
    <t>Dr. Vivek Singh Kushwah</t>
  </si>
  <si>
    <t>Ms. Shally Goyal</t>
  </si>
  <si>
    <t>Mr. Narendra Kumar Garg</t>
  </si>
  <si>
    <t>Mr. Mohan Kantharia</t>
  </si>
  <si>
    <t>Dr. Manisha Singh</t>
  </si>
  <si>
    <t>Dr. Rachna Kathal</t>
  </si>
  <si>
    <t>Mr. Alok Jain</t>
  </si>
  <si>
    <t>Mrs. Sonia Shivhare</t>
  </si>
  <si>
    <t xml:space="preserve">Mr. Nagendra Kumar Sharma </t>
  </si>
  <si>
    <t xml:space="preserve">Mr. Ashutosh Barua </t>
  </si>
  <si>
    <t>Dr. Snehal Chandrashekhar Jani</t>
  </si>
  <si>
    <t>S. No.</t>
  </si>
  <si>
    <t>AMITY UNIVERSITY MADHYA PRADESH</t>
  </si>
  <si>
    <t>Prof. (Dr.) Arvind Kumar Upadhyay</t>
  </si>
  <si>
    <t>DOJ</t>
  </si>
  <si>
    <t>Direct Ext. No.</t>
  </si>
  <si>
    <t>Contact No.</t>
  </si>
  <si>
    <t>Employee Code</t>
  </si>
  <si>
    <t>Maj. Gen. (Dr.) S.C. Jain, VSM** (Retd.)</t>
  </si>
  <si>
    <t>Dr. Pankaj Kumar Mishra</t>
  </si>
  <si>
    <t>Address</t>
  </si>
  <si>
    <t>G-304, Sagar Paradise, Birla House, Near Residency Road, Morar, Gwalior - 474006 (M.P.)</t>
  </si>
  <si>
    <t>Gandhi Road, Baradari Chauraha, Idgah Morar, Gwalior, (M.P.)</t>
  </si>
  <si>
    <t>Vill. - Gangapur, P.O. - Dihiya, Distt. - Rewa - 486001 (M.P.)</t>
  </si>
  <si>
    <t>63/2, Amit Manson, Behind of "Natkhat Bhavan", Ramtekri, Mandsaur - 458001 (M.P.)</t>
  </si>
  <si>
    <t>L.I.G. - 971, Darpan Colony, Gwalior - 474011 (M.P.)</t>
  </si>
  <si>
    <t>1/243 , Rashmi Khand, Sharda Nagar, Lucknow (U.P.)</t>
  </si>
  <si>
    <t>A - 17, Surya Nagar, Gwalior, (M.P.)</t>
  </si>
  <si>
    <t>D - 3, Garden Homes Phase - II, Alka Puri, Behind New High Court, Gwalior - 4013498 (M.P.)</t>
  </si>
  <si>
    <t>A - 17, Surya Nagar, Near Shabd Pratap Aashram, Gwalior, (M.P.)</t>
  </si>
  <si>
    <t>D - 5, Govind Puri, Thatipur, Gwalior, (M.P.)</t>
  </si>
  <si>
    <t>D - 3, Garden Homes Phase - II, Alka Puri, Behind New High Court, Gwalior, (M.P.)</t>
  </si>
  <si>
    <t>105 Garden Home, Phase - II, Alkapuri, Gwalior - 474011 (M.P.)</t>
  </si>
  <si>
    <t>85/158 Laxmi Purwa Kanpur - 208003 (M.P.)</t>
  </si>
  <si>
    <t>Madhav Ganj, Chitera Oli, Lashkar, Gwalior, (M.P.)</t>
  </si>
  <si>
    <t>33 Azad Nagar, Street No. - 2, Morar, Gwalior - 474006 (M.P.)</t>
  </si>
  <si>
    <t>H. No. - 3, New Govind Puri, University Road, Gwalior, (M.P.)</t>
  </si>
  <si>
    <t>127 P P Nagar, Sikandra, Agra (U.P.)</t>
  </si>
  <si>
    <t>206, Virendra Villa, Behind S.P. Office, Patel Nagar, City Centre, Gwalior</t>
  </si>
  <si>
    <t>BM - 518 Deendayal Nagar - 474020, Gwalior (M.P.)</t>
  </si>
  <si>
    <t>47, Vikas Nagar, Gwalior - 474002 (M.P.)</t>
  </si>
  <si>
    <t>64 - Vikas Nagar, Behind Sai Baba Temple, Kila Gate Road, Gwalior - 474002 (M.P.)</t>
  </si>
  <si>
    <t>Pandit Vihar Colony, Maharana Pratap Nagar, Gole Ka Mandir, Gwalior - 474005 (M.P.)</t>
  </si>
  <si>
    <t>C/o Katori Devi Mandil, Vikas Colony, Nimbalkar Ki Goth, No. - 2, Kampoo, Lashkar, Gwalior (M.P.)</t>
  </si>
  <si>
    <t>Kasmada House, Azad Nagar, Morar, Gwalior - 6, (M.P.)</t>
  </si>
  <si>
    <t>C/o Shri C.L. Jani, 57, Mira Park Society, Near Water Tank, Paliyad Road, Pachpada, Botad - 364710, Gujrat</t>
  </si>
  <si>
    <t>A - 16, Govindpuri, University Road, Gwalior - 11, (M.P.)</t>
  </si>
  <si>
    <t>77 - Kherapati Colony, Gwalior - 474002 (M.P.)</t>
  </si>
  <si>
    <t>162, Mayur Nagar, Thatipur, Gwalior - 474011 (M.P.)</t>
  </si>
  <si>
    <t>E-Mail ID</t>
  </si>
  <si>
    <t>rkpandey@gwa.amity.edu</t>
  </si>
  <si>
    <t>nksharma@gwa.amity.edu</t>
  </si>
  <si>
    <t>hksoni@gwa.amity.edu</t>
  </si>
  <si>
    <t>akupadhyay@gwa.amity.edu</t>
  </si>
  <si>
    <t>vparashar@gwa.amity.edu</t>
  </si>
  <si>
    <t>sjgoyal@gwa.amity.edu</t>
  </si>
  <si>
    <t>aparashar@gwa.amity.edu</t>
  </si>
  <si>
    <t>vmishra1@gwa.amity.edu</t>
  </si>
  <si>
    <t>rgoyal@gwa.amity.edu</t>
  </si>
  <si>
    <t>mdhingra@gwa.amity.edu</t>
  </si>
  <si>
    <t>dgbilwal@gwa.amity.edu.</t>
  </si>
  <si>
    <t>dkmishra@gwa.amity.edu</t>
  </si>
  <si>
    <t>akshrivastava1@gwa.amity.edu</t>
  </si>
  <si>
    <t>dsharma@gwa.amity.edu</t>
  </si>
  <si>
    <t>rsharma3@gwa.amity.edu</t>
  </si>
  <si>
    <t>rbhatia@gwa.amity.edu</t>
  </si>
  <si>
    <t>vskushwah@gwa.amity.edu</t>
  </si>
  <si>
    <t>sgoyal@gwa.amity.edu</t>
  </si>
  <si>
    <t>nkgarg41@gwa.amity.edu</t>
  </si>
  <si>
    <t>abarua@gwa.amity.edu</t>
  </si>
  <si>
    <t>mkantharia@gwa.amity.edu</t>
  </si>
  <si>
    <t>msingh@gwa.amity.edu</t>
  </si>
  <si>
    <t>pmishra@gwa.amity.edu</t>
  </si>
  <si>
    <t>scjani@gwa.amity.edu</t>
  </si>
  <si>
    <t>rkathal@gwa.amity.edu</t>
  </si>
  <si>
    <t>ajain1@gwa.amity.edu</t>
  </si>
  <si>
    <t>sshivhare@gwa.amity.edu</t>
  </si>
  <si>
    <t>Empl. Code</t>
  </si>
  <si>
    <t>E-mail ID</t>
  </si>
  <si>
    <t>Mr. Narendra Singh</t>
  </si>
  <si>
    <t>Office Superintendent - ASET</t>
  </si>
  <si>
    <t>9302308830
8349668878</t>
  </si>
  <si>
    <t>nsingh@gwa.amity.edu</t>
  </si>
  <si>
    <t>Madhvi Nagar, Near L.S. Convent School, Gadai Pura, Birla Nagar, Gwalior (MP)</t>
  </si>
  <si>
    <t>Office Assistant - ASET</t>
  </si>
  <si>
    <t>Mr. Virendra Narwariya</t>
  </si>
  <si>
    <t>vnarwariya@gwa.amity.edu</t>
  </si>
  <si>
    <t>Maa Siddheshwari Durga Mandir, Mahavir Pura Chauraha, Dabra, Dist Gwalior (M.P.)</t>
  </si>
  <si>
    <t>Mr. Anoop Kumar Gupta</t>
  </si>
  <si>
    <t>Workshop Superintendant - MAE</t>
  </si>
  <si>
    <t>akgupta@gwa.amity.edu</t>
  </si>
  <si>
    <t>9, Mayur Market, Thatipur, Gwalior-474011</t>
  </si>
  <si>
    <t>Mr. Santosh Kumar Bose</t>
  </si>
  <si>
    <t>Lab Assistant - MAE - EDE</t>
  </si>
  <si>
    <t>9303007531
9202287335</t>
  </si>
  <si>
    <t>skbose@gwa.amity.edu</t>
  </si>
  <si>
    <t>J-272, Darpan Colony Gwalior (MP)</t>
  </si>
  <si>
    <t>Mr. Sunil Rajput</t>
  </si>
  <si>
    <t>Lab Assistant - MAE</t>
  </si>
  <si>
    <t>srajput@gwa.amity.edu</t>
  </si>
  <si>
    <t>Line No. 13/38, Birla Nagar Hazeera Gwalior (MP)</t>
  </si>
  <si>
    <t>Mr. Amit Saheb Gosai</t>
  </si>
  <si>
    <t>9755688216
8269286175</t>
  </si>
  <si>
    <t>asgosai@gwa.amity.edu</t>
  </si>
  <si>
    <t>Sugar Mill Colony, House No.9, Single Line, Dabra, Gwalior (M.P.)</t>
  </si>
  <si>
    <t>Mr. Ramesh Kumar Ojha</t>
  </si>
  <si>
    <t>rkojha@gwa.amity.edu</t>
  </si>
  <si>
    <t>New Colony, Hurawali, Block-B, Morar, Gwalior</t>
  </si>
  <si>
    <t>Mr. Anurag Mukherjee</t>
  </si>
  <si>
    <t>Teaching Associate - MAE</t>
  </si>
  <si>
    <t>amukherjee@gwa.amity.edu</t>
  </si>
  <si>
    <t>Krishna Kunj, Near VIP Guest House, Ramkala Nagar, 6. No. Chauraha, Morar, Gwalior</t>
  </si>
  <si>
    <t>Mr. Shyam Babu Gupta</t>
  </si>
  <si>
    <t xml:space="preserve">Teaching Associate - Civil </t>
  </si>
  <si>
    <t>sbgupta@gwa.amity.edu</t>
  </si>
  <si>
    <t>D-68, Harishankar Puram, Gwalior-474002</t>
  </si>
  <si>
    <t>Mr. Hemant Kumar Verma</t>
  </si>
  <si>
    <t>Lab Assistant - Civil</t>
  </si>
  <si>
    <t>hkverma@gwa.amity.edu</t>
  </si>
  <si>
    <t>New Colony No.1/335, Birla Nagar, Gwalior</t>
  </si>
  <si>
    <t>Mr. Sachin Pal</t>
  </si>
  <si>
    <t>spal1@gwa.amity.edu</t>
  </si>
  <si>
    <t>Ravi Das Nagar, Shabd Pratap Ashram, Lashkar, Gwalior (M.P.)</t>
  </si>
  <si>
    <t>Mr. Neelesh Mishra</t>
  </si>
  <si>
    <t>Lab Assistant - Chemistry</t>
  </si>
  <si>
    <t>nmishra@gwa.amity.edu</t>
  </si>
  <si>
    <t>In front of Adarsh Mill, Durga Vihar  Colony, Rambagh Ghosipura Gwalior (MP)</t>
  </si>
  <si>
    <t>Mr. Shiv Datt Sharma</t>
  </si>
  <si>
    <t>Lab Assistant - Physics</t>
  </si>
  <si>
    <t>sdsharma@gwa.amity.edu</t>
  </si>
  <si>
    <t>C/o Sh Raghunath Singh, Engineer KA Bada, Magleswar Road, Gwalior - 474003 (MP)</t>
  </si>
  <si>
    <t>Mr. Neeraj Srivastava</t>
  </si>
  <si>
    <t>Lab Technician - ECE</t>
  </si>
  <si>
    <t>nshrivastava@gwa.amity.edu</t>
  </si>
  <si>
    <t>Flat No. 402, Shiva Plaza, Samadhiya Colony, Lashkar Gwalior (MP)</t>
  </si>
  <si>
    <t>Mr. Suresh Jalnapurkar</t>
  </si>
  <si>
    <t>Lab Assistant - ECE</t>
  </si>
  <si>
    <t>9302162836
9074275235</t>
  </si>
  <si>
    <t>sjalnapurkar@gwa.amity.edu</t>
  </si>
  <si>
    <t>C/o Sh DG hatwalne Near Roxy Talkies, Selar Ki Goth, Kampoo, Gwalior  (MP)</t>
  </si>
  <si>
    <t>scjain@gwa.amity.edu</t>
  </si>
  <si>
    <t>LIST OF FACULTY - ASET</t>
  </si>
  <si>
    <t>Dr. Divya Singh</t>
  </si>
  <si>
    <t>Kalyan Colony, Durgamauda, Behind Railway Station, Lakdi Taal Road, Sonumuda, Raigarh - 496001 (C.G.)</t>
  </si>
  <si>
    <t>dsingh1@gwa.amity.edu</t>
  </si>
  <si>
    <t>LIST OF NON TEACHING STAFF - ASET</t>
  </si>
  <si>
    <t>Mr. Naresh Singh Baghel</t>
  </si>
  <si>
    <t>6117 / 6140</t>
  </si>
  <si>
    <t>Workshop Instructor - MAE</t>
  </si>
  <si>
    <t>nsbaghel@gwa.amity.edu</t>
  </si>
  <si>
    <t>nkhan@gwa.amity.edu</t>
  </si>
  <si>
    <t>Mr. Imaran Ahmad Khan</t>
  </si>
  <si>
    <t>97/19 KAYASTHANA ROAD, TALAQ MAHAL, KANPUR (UP) 208001</t>
  </si>
  <si>
    <t>9044694008
9696142251</t>
  </si>
  <si>
    <t>iakhan@gwa.amity.edu</t>
  </si>
  <si>
    <t>9005527680
8090125805</t>
  </si>
  <si>
    <t>House No. 48, Birubari, Sadhupatti, Ram Krishna Mission Road, P.O. Gopinath Nagar, Guwahati,
Kamrup, Assam 781016.</t>
  </si>
  <si>
    <t>Department</t>
  </si>
  <si>
    <t>ME</t>
  </si>
  <si>
    <t>ASET</t>
  </si>
  <si>
    <t>CSE</t>
  </si>
  <si>
    <t>ECE</t>
  </si>
  <si>
    <t>Civil</t>
  </si>
  <si>
    <t>Physics</t>
  </si>
  <si>
    <t>Chemistry</t>
  </si>
  <si>
    <t>Mathematics</t>
  </si>
  <si>
    <t>Assistant Professor-3</t>
  </si>
  <si>
    <t>Assistant Professor-1</t>
  </si>
  <si>
    <t>Assistant Professor-2</t>
  </si>
  <si>
    <t>Professor</t>
  </si>
  <si>
    <t>Professor &amp; Head</t>
  </si>
  <si>
    <t>Associate Professor</t>
  </si>
  <si>
    <t>Associate Professor*</t>
  </si>
  <si>
    <t>Assistant Professor-2*</t>
  </si>
  <si>
    <t>Assistant Professor-3*</t>
  </si>
  <si>
    <t>Director - ASET &amp; Professor (CSE)</t>
  </si>
  <si>
    <t>9893592899
9827732899</t>
  </si>
  <si>
    <t>Mr. M.S. Panwar, 140, Aradhna Nagar, Kotra Sultanabad, Bhopal (M.P.)</t>
  </si>
  <si>
    <t xml:space="preserve">Dr. Ajay Kumar Dadoriya </t>
  </si>
  <si>
    <t>8076036082
8745819112</t>
  </si>
  <si>
    <t>Professor &amp; HoD, CSE</t>
  </si>
  <si>
    <t>96343 96189</t>
  </si>
  <si>
    <t>AUMP Hostel</t>
  </si>
  <si>
    <t>Assistant Professor - 1</t>
  </si>
  <si>
    <t xml:space="preserve">Mr. Anil Sagoriya </t>
  </si>
  <si>
    <t>Jain Mandir Road, Sarafa Bazar, Dabra, Dist. Gwalior (M.P)</t>
  </si>
  <si>
    <t>Mr. Sachin Tiwari</t>
  </si>
  <si>
    <t>921/1 Gondu Compound Sipri Bazaar Jhansi U.P India</t>
  </si>
  <si>
    <t>Dr Venkatadri Marriboyina</t>
  </si>
  <si>
    <t>Dr. Raghavendra Sharma</t>
  </si>
  <si>
    <t>9936775159
9140992961</t>
  </si>
  <si>
    <t>C H-10 DD Nagar, Maharaj Pura, Gwalior</t>
  </si>
  <si>
    <t>srathee@gwa.amity.edu</t>
  </si>
  <si>
    <t>akdadoriya@gwa.amity.edu</t>
  </si>
  <si>
    <t>stiwari@gwa.amity.edu</t>
  </si>
  <si>
    <t>Dr. Sandeep Rathee</t>
  </si>
  <si>
    <t>Dr. Ripunjoy Gogoi</t>
  </si>
  <si>
    <t>7879734741
9179055021</t>
  </si>
  <si>
    <t>Mr. Pulkit Ohri</t>
  </si>
  <si>
    <t>Training Specialist</t>
  </si>
  <si>
    <t>H. No. 196, Street No. 13, Ajay Park, Nayabazar, Najafgarh, New Delhi110043</t>
  </si>
  <si>
    <t>Dr. C.P. Jawahar</t>
  </si>
  <si>
    <t>Professor &amp; HoD, ME</t>
  </si>
  <si>
    <t>15C, P Block Extension, Sivan Nagar, Kovaipudur, Coimbatore - 641 042, Tamil Nadu</t>
  </si>
  <si>
    <t>cpjawahar@gwa.amity.edu</t>
  </si>
  <si>
    <t>Dr. Girraj Kumar Verma</t>
  </si>
  <si>
    <t>11-A, Banshi Vihar Extension, Paschim Puri, Sikandra. Agra-282007</t>
  </si>
  <si>
    <t>Dr. Santosh Kumar Sharma</t>
  </si>
  <si>
    <t>Associate Prof. &amp; Head App. Mathematics</t>
  </si>
  <si>
    <t>D-Block, SR-6, Near Police Chowki Park, Harishankarpuram, Gwalior</t>
  </si>
  <si>
    <t>Mr. Mahakavi P.</t>
  </si>
  <si>
    <t>gkverma@gwa.amity.edu</t>
  </si>
  <si>
    <t>sksharma1@gwa.amity.edu</t>
  </si>
  <si>
    <t>0751-2496098/ 6101</t>
  </si>
  <si>
    <t>9425120962 8718807762</t>
  </si>
  <si>
    <t>8894439018
6378547498</t>
  </si>
  <si>
    <t>Awas Vikas Colony Sikandra, Agra, U.P, India</t>
  </si>
  <si>
    <t>Dr.  Pratiksha Gautam</t>
  </si>
  <si>
    <t>pgautam@gwa.amity.edu</t>
  </si>
  <si>
    <t>Dr. Harish Kumar Shakya</t>
  </si>
  <si>
    <t>9984098866
8979093747</t>
  </si>
  <si>
    <t>26-Durgapuri, Tansen Road, Gwalior, PIN- 474002</t>
  </si>
  <si>
    <t>9790253447 9952315269</t>
  </si>
  <si>
    <t>sjatav@gwa.amity.edu</t>
  </si>
  <si>
    <t>Mr. Suraj Jatav</t>
  </si>
  <si>
    <t>9713485406
9340281524</t>
  </si>
  <si>
    <t>Behind of Akab Ganj Singhpur Raod Morar Gwalior</t>
  </si>
  <si>
    <t>Dr. Subhrendu Guha Neogi</t>
  </si>
  <si>
    <t>FR-4, Flat No – 64, SPSU Campus, Bhatewar, Udaipur – 313601</t>
  </si>
  <si>
    <t>sgneogi@gwa.amity.edu</t>
  </si>
  <si>
    <t>9887712216
7980801480</t>
  </si>
  <si>
    <t>asagoriya@gwa.amity.edu</t>
  </si>
  <si>
    <t>pmahakavi@gwa.amity.edu</t>
  </si>
  <si>
    <t>rgogoi@gwa.amity.edu</t>
  </si>
  <si>
    <t>hkshakya@gwa.amity.edu</t>
  </si>
  <si>
    <t>vmarriboyina@gwa.amity.edu</t>
  </si>
  <si>
    <t>pohri@gwa.amity.edu</t>
  </si>
  <si>
    <t>Dr. Samta Jain Goyal</t>
  </si>
  <si>
    <t>Associate Professor &amp; Head</t>
  </si>
  <si>
    <t>Dr. Hemant Kumar Soni</t>
  </si>
  <si>
    <t>vkgupta@gwa.amity.edu</t>
  </si>
  <si>
    <t>Dr. Manvandra Kumar Singh</t>
  </si>
  <si>
    <t>9532235509
9929224882</t>
  </si>
  <si>
    <t>V-Bakharan, P-Sahupuri, D-Chandauli-221009, U.P.</t>
  </si>
  <si>
    <t>Dr. Vimal Kumar Gupta</t>
  </si>
  <si>
    <t>mksingh@gwa.amity.edu</t>
  </si>
  <si>
    <t>ksharma@gwa.amity.edu</t>
  </si>
  <si>
    <t>Dr. Kapil Sharma</t>
  </si>
  <si>
    <t>9770025354
9926934093</t>
  </si>
  <si>
    <t>Near Bharro Temple Madhavganj Bada Lashkar Gwalior  – 474001</t>
  </si>
  <si>
    <t>9149226354
9837993878</t>
  </si>
  <si>
    <t>Dr Deepak Motwani</t>
  </si>
  <si>
    <t>6260724167,09425770399(Gwl.)</t>
  </si>
  <si>
    <t>H.No.25 Sundari Villa, Jhadav Colony, Bahodapur, (near City Hospital), Gwalior [M.P]-474012</t>
  </si>
  <si>
    <t xml:space="preserve">dmotwani@gwa.amity.edu </t>
  </si>
  <si>
    <t>UPDATE AS ON : 10-08-2020</t>
  </si>
  <si>
    <t>CE</t>
  </si>
  <si>
    <t>PHYSICS</t>
  </si>
  <si>
    <t>CHEMISTRY</t>
  </si>
  <si>
    <t>MATHEMATICS</t>
  </si>
  <si>
    <t>Director ASET</t>
  </si>
  <si>
    <t>Total</t>
  </si>
  <si>
    <t>Remarks</t>
  </si>
  <si>
    <t>FOR NAAC DATA COMPILATION</t>
  </si>
  <si>
    <t>FILE VERIFICATION SUPPORT</t>
  </si>
  <si>
    <t>Dr. Deepak Motwani</t>
  </si>
  <si>
    <t>Assistant Professor</t>
  </si>
  <si>
    <t>NON-TEACHING/LAB STAFF</t>
  </si>
  <si>
    <t>Assistant Professor-CSE</t>
  </si>
  <si>
    <t>Associate Professor-CSE</t>
  </si>
  <si>
    <t xml:space="preserve"> COORDINATOR</t>
  </si>
  <si>
    <t>Associate Professor-Mathematics</t>
  </si>
  <si>
    <t>NAAC COORDINATOR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</si>
</sst>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CC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u/>
      <sz val="20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/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11" fillId="0" borderId="0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11" fillId="0" borderId="0" xfId="0" applyFont="1" applyFill="1" applyBorder="1"/>
    <xf numFmtId="0" fontId="0" fillId="0" borderId="0" xfId="0" applyFont="1" applyFill="1" applyBorder="1"/>
    <xf numFmtId="0" fontId="11" fillId="0" borderId="0" xfId="0" applyFont="1" applyFill="1" applyBorder="1" applyAlignment="1">
      <alignment vertical="center"/>
    </xf>
    <xf numFmtId="1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4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/>
    <xf numFmtId="1" fontId="1" fillId="0" borderId="0" xfId="0" applyNumberFormat="1" applyFont="1" applyFill="1" applyBorder="1"/>
    <xf numFmtId="0" fontId="1" fillId="0" borderId="0" xfId="0" applyNumberFormat="1" applyFont="1" applyFill="1" applyBorder="1"/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5" fillId="7" borderId="1" xfId="1" applyFill="1" applyBorder="1" applyAlignment="1" applyProtection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8"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CC99"/>
      <color rgb="FF0000CC"/>
      <color rgb="FF00FF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ksharma1@gwa.amity.edu" TargetMode="External"/><Relationship Id="rId13" Type="http://schemas.openxmlformats.org/officeDocument/2006/relationships/hyperlink" Target="mailto:hkshakya@gwa.amity.edu" TargetMode="External"/><Relationship Id="rId18" Type="http://schemas.openxmlformats.org/officeDocument/2006/relationships/hyperlink" Target="mailto:dmotwani@gwa.amity.edu" TargetMode="External"/><Relationship Id="rId3" Type="http://schemas.openxmlformats.org/officeDocument/2006/relationships/hyperlink" Target="mailto:iakhan@gwa.amity.edu" TargetMode="External"/><Relationship Id="rId7" Type="http://schemas.openxmlformats.org/officeDocument/2006/relationships/hyperlink" Target="mailto:gkverma@gwa.amity.edu" TargetMode="External"/><Relationship Id="rId12" Type="http://schemas.openxmlformats.org/officeDocument/2006/relationships/hyperlink" Target="mailto:rgogoi@gwa.amity.edu" TargetMode="External"/><Relationship Id="rId17" Type="http://schemas.openxmlformats.org/officeDocument/2006/relationships/hyperlink" Target="mailto:ksharma@gwa.amity.edu" TargetMode="External"/><Relationship Id="rId2" Type="http://schemas.openxmlformats.org/officeDocument/2006/relationships/hyperlink" Target="mailto:nkhan@gwa.amity.edu" TargetMode="External"/><Relationship Id="rId16" Type="http://schemas.openxmlformats.org/officeDocument/2006/relationships/hyperlink" Target="mailto:mksingh@gwa.amity.edu" TargetMode="External"/><Relationship Id="rId1" Type="http://schemas.openxmlformats.org/officeDocument/2006/relationships/hyperlink" Target="mailto:dsingh1@gwa.amity.edu" TargetMode="External"/><Relationship Id="rId6" Type="http://schemas.openxmlformats.org/officeDocument/2006/relationships/hyperlink" Target="mailto:stiwari@gwa.amity.edu" TargetMode="External"/><Relationship Id="rId11" Type="http://schemas.openxmlformats.org/officeDocument/2006/relationships/hyperlink" Target="mailto:pmahakavi@gwa.amity.edu" TargetMode="External"/><Relationship Id="rId5" Type="http://schemas.openxmlformats.org/officeDocument/2006/relationships/hyperlink" Target="mailto:akdadoriya@gwa.amity.edu" TargetMode="External"/><Relationship Id="rId15" Type="http://schemas.openxmlformats.org/officeDocument/2006/relationships/hyperlink" Target="mailto:vkgupta@gwa.amity.edu" TargetMode="External"/><Relationship Id="rId10" Type="http://schemas.openxmlformats.org/officeDocument/2006/relationships/hyperlink" Target="mailto:sgneogi@gwa.amity.edu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srathee@gwa.amity.edu" TargetMode="External"/><Relationship Id="rId9" Type="http://schemas.openxmlformats.org/officeDocument/2006/relationships/hyperlink" Target="mailto:pgautam@gwa.amity.edu" TargetMode="External"/><Relationship Id="rId14" Type="http://schemas.openxmlformats.org/officeDocument/2006/relationships/hyperlink" Target="mailto:vmarriboyina@gwa.amity.edu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pal1@gwa.amity.edu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srajput@gwa.amity.edu" TargetMode="External"/><Relationship Id="rId1" Type="http://schemas.openxmlformats.org/officeDocument/2006/relationships/hyperlink" Target="mailto:sdsharma@gwa.amity.edu" TargetMode="External"/><Relationship Id="rId6" Type="http://schemas.openxmlformats.org/officeDocument/2006/relationships/hyperlink" Target="mailto:pohri@gwa.amity.edu" TargetMode="External"/><Relationship Id="rId5" Type="http://schemas.openxmlformats.org/officeDocument/2006/relationships/hyperlink" Target="mailto:asagoriya@gwa.amity.edu" TargetMode="External"/><Relationship Id="rId4" Type="http://schemas.openxmlformats.org/officeDocument/2006/relationships/hyperlink" Target="mailto:vnarwariya@gwa.amity.ed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zoomScale="70" zoomScaleNormal="70" zoomScaleSheetLayoutView="115" workbookViewId="0">
      <selection activeCell="A3" sqref="A3:D22"/>
    </sheetView>
  </sheetViews>
  <sheetFormatPr defaultRowHeight="15"/>
  <cols>
    <col min="1" max="1" width="5.42578125" style="10" customWidth="1"/>
    <col min="2" max="3" width="35.140625" style="11" customWidth="1"/>
    <col min="4" max="4" width="28.28515625" style="12" customWidth="1"/>
    <col min="5" max="16384" width="9.140625" style="8"/>
  </cols>
  <sheetData>
    <row r="1" spans="1:4" ht="25.5" customHeight="1">
      <c r="A1" s="85" t="s">
        <v>26</v>
      </c>
      <c r="B1" s="85"/>
      <c r="C1" s="85"/>
      <c r="D1" s="85"/>
    </row>
    <row r="2" spans="1:4" ht="34.5" customHeight="1">
      <c r="A2" s="86" t="s">
        <v>159</v>
      </c>
      <c r="B2" s="86"/>
      <c r="C2" s="86"/>
      <c r="D2" s="86"/>
    </row>
    <row r="3" spans="1:4" ht="16.5" customHeight="1">
      <c r="A3" s="87" t="s">
        <v>25</v>
      </c>
      <c r="B3" s="87" t="s">
        <v>0</v>
      </c>
      <c r="C3" s="87" t="s">
        <v>1</v>
      </c>
      <c r="D3" s="87" t="s">
        <v>276</v>
      </c>
    </row>
    <row r="4" spans="1:4" ht="16.5" customHeight="1">
      <c r="A4" s="87"/>
      <c r="B4" s="87"/>
      <c r="C4" s="87"/>
      <c r="D4" s="87"/>
    </row>
    <row r="5" spans="1:4" ht="16.5" customHeight="1">
      <c r="A5" s="71">
        <v>1</v>
      </c>
      <c r="B5" s="93" t="s">
        <v>221</v>
      </c>
      <c r="C5" s="71" t="s">
        <v>285</v>
      </c>
      <c r="D5" s="71" t="s">
        <v>286</v>
      </c>
    </row>
    <row r="6" spans="1:4" ht="16.5" customHeight="1">
      <c r="A6" s="71">
        <v>2</v>
      </c>
      <c r="B6" s="4" t="s">
        <v>4</v>
      </c>
      <c r="C6" s="6" t="s">
        <v>282</v>
      </c>
      <c r="D6" s="23" t="s">
        <v>284</v>
      </c>
    </row>
    <row r="7" spans="1:4" ht="16.5" customHeight="1">
      <c r="A7" s="71">
        <v>3</v>
      </c>
      <c r="B7" s="4" t="s">
        <v>5</v>
      </c>
      <c r="C7" s="6" t="s">
        <v>282</v>
      </c>
      <c r="D7" s="23" t="s">
        <v>284</v>
      </c>
    </row>
    <row r="8" spans="1:4" ht="16.5" customHeight="1">
      <c r="A8" s="71">
        <v>4</v>
      </c>
      <c r="B8" s="3" t="s">
        <v>7</v>
      </c>
      <c r="C8" s="6" t="s">
        <v>282</v>
      </c>
      <c r="D8" s="23" t="s">
        <v>284</v>
      </c>
    </row>
    <row r="9" spans="1:4" ht="16.5" customHeight="1">
      <c r="A9" s="71">
        <v>5</v>
      </c>
      <c r="B9" s="4" t="s">
        <v>12</v>
      </c>
      <c r="C9" s="6" t="s">
        <v>282</v>
      </c>
      <c r="D9" s="23" t="s">
        <v>284</v>
      </c>
    </row>
    <row r="10" spans="1:4" ht="16.5" customHeight="1">
      <c r="A10" s="71">
        <v>6</v>
      </c>
      <c r="B10" s="4" t="s">
        <v>279</v>
      </c>
      <c r="C10" s="6" t="s">
        <v>283</v>
      </c>
      <c r="D10" s="23" t="s">
        <v>284</v>
      </c>
    </row>
    <row r="11" spans="1:4" ht="16.5" customHeight="1">
      <c r="A11" s="71">
        <v>7</v>
      </c>
      <c r="B11" s="4" t="s">
        <v>261</v>
      </c>
      <c r="C11" s="6" t="s">
        <v>283</v>
      </c>
      <c r="D11" s="23" t="s">
        <v>284</v>
      </c>
    </row>
    <row r="12" spans="1:4" ht="16.5" customHeight="1">
      <c r="A12" s="90" t="s">
        <v>281</v>
      </c>
      <c r="B12" s="91"/>
      <c r="C12" s="91"/>
      <c r="D12" s="92"/>
    </row>
    <row r="13" spans="1:4" s="9" customFormat="1" ht="15" customHeight="1">
      <c r="A13" s="26">
        <v>8</v>
      </c>
      <c r="B13" s="27" t="s">
        <v>93</v>
      </c>
      <c r="C13" s="26" t="s">
        <v>94</v>
      </c>
      <c r="D13" s="26" t="s">
        <v>278</v>
      </c>
    </row>
    <row r="14" spans="1:4" s="9" customFormat="1" ht="15" customHeight="1">
      <c r="A14" s="26">
        <v>9</v>
      </c>
      <c r="B14" s="1" t="s">
        <v>99</v>
      </c>
      <c r="C14" s="2" t="s">
        <v>98</v>
      </c>
      <c r="D14" s="2" t="s">
        <v>277</v>
      </c>
    </row>
    <row r="15" spans="1:4" s="9" customFormat="1" ht="15" customHeight="1">
      <c r="A15" s="26">
        <v>10</v>
      </c>
      <c r="B15" s="1" t="s">
        <v>238</v>
      </c>
      <c r="C15" s="2" t="s">
        <v>98</v>
      </c>
      <c r="D15" s="26" t="s">
        <v>278</v>
      </c>
    </row>
    <row r="16" spans="1:4" s="9" customFormat="1" ht="15" customHeight="1">
      <c r="A16" s="26">
        <v>11</v>
      </c>
      <c r="B16" s="1" t="s">
        <v>111</v>
      </c>
      <c r="C16" s="2" t="s">
        <v>112</v>
      </c>
      <c r="D16" s="26" t="s">
        <v>278</v>
      </c>
    </row>
    <row r="17" spans="1:4" s="9" customFormat="1" ht="15" customHeight="1">
      <c r="A17" s="26">
        <v>12</v>
      </c>
      <c r="B17" s="1" t="s">
        <v>115</v>
      </c>
      <c r="C17" s="2" t="s">
        <v>112</v>
      </c>
      <c r="D17" s="26" t="s">
        <v>278</v>
      </c>
    </row>
    <row r="18" spans="1:4" s="9" customFormat="1" ht="15" customHeight="1">
      <c r="A18" s="26">
        <v>13</v>
      </c>
      <c r="B18" s="1" t="s">
        <v>160</v>
      </c>
      <c r="C18" s="2" t="s">
        <v>162</v>
      </c>
      <c r="D18" s="26" t="s">
        <v>278</v>
      </c>
    </row>
    <row r="19" spans="1:4" s="9" customFormat="1" ht="15" customHeight="1">
      <c r="A19" s="26">
        <v>14</v>
      </c>
      <c r="B19" s="1" t="s">
        <v>126</v>
      </c>
      <c r="C19" s="2" t="s">
        <v>127</v>
      </c>
      <c r="D19" s="26" t="s">
        <v>278</v>
      </c>
    </row>
    <row r="20" spans="1:4" s="9" customFormat="1" ht="15" customHeight="1">
      <c r="A20" s="26">
        <v>15</v>
      </c>
      <c r="B20" s="1" t="s">
        <v>130</v>
      </c>
      <c r="C20" s="2" t="s">
        <v>131</v>
      </c>
      <c r="D20" s="26" t="s">
        <v>278</v>
      </c>
    </row>
    <row r="21" spans="1:4" s="9" customFormat="1" ht="15" customHeight="1">
      <c r="A21" s="26">
        <v>16</v>
      </c>
      <c r="B21" s="1" t="s">
        <v>134</v>
      </c>
      <c r="C21" s="2" t="s">
        <v>131</v>
      </c>
      <c r="D21" s="26" t="s">
        <v>278</v>
      </c>
    </row>
    <row r="22" spans="1:4" s="9" customFormat="1" ht="15" customHeight="1">
      <c r="A22" s="26">
        <v>17</v>
      </c>
      <c r="B22" s="1" t="s">
        <v>137</v>
      </c>
      <c r="C22" s="2" t="s">
        <v>138</v>
      </c>
      <c r="D22" s="26" t="s">
        <v>278</v>
      </c>
    </row>
  </sheetData>
  <mergeCells count="7">
    <mergeCell ref="C3:C4"/>
    <mergeCell ref="A12:D12"/>
    <mergeCell ref="A1:D1"/>
    <mergeCell ref="A2:D2"/>
    <mergeCell ref="A3:A4"/>
    <mergeCell ref="B3:B4"/>
    <mergeCell ref="D3:D4"/>
  </mergeCells>
  <conditionalFormatting sqref="D6:D11">
    <cfRule type="containsBlanks" dxfId="0" priority="1">
      <formula>LEN(TRIM(D6))=0</formula>
    </cfRule>
  </conditionalFormatting>
  <printOptions horizontalCentered="1"/>
  <pageMargins left="0.19685039370078741" right="0.19685039370078741" top="0.19685039370078741" bottom="0.15748031496062992" header="0.19685039370078741" footer="0.15748031496062992"/>
  <pageSetup paperSize="9" scale="75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J50"/>
  <sheetViews>
    <sheetView zoomScale="70" zoomScaleNormal="70" zoomScaleSheetLayoutView="115" workbookViewId="0">
      <pane xSplit="5" ySplit="3" topLeftCell="F19" activePane="bottomRight" state="frozen"/>
      <selection pane="topRight" activeCell="G1" sqref="G1"/>
      <selection pane="bottomLeft" activeCell="A4" sqref="A4"/>
      <selection pane="bottomRight" activeCell="C14" sqref="C14:E27"/>
    </sheetView>
  </sheetViews>
  <sheetFormatPr defaultRowHeight="15.75"/>
  <cols>
    <col min="1" max="1" width="5.7109375" style="32" customWidth="1"/>
    <col min="2" max="2" width="11.42578125" style="54" customWidth="1"/>
    <col min="3" max="3" width="39.140625" style="33" bestFit="1" customWidth="1"/>
    <col min="4" max="4" width="24.7109375" style="33" customWidth="1"/>
    <col min="5" max="5" width="14.28515625" style="33" bestFit="1" customWidth="1"/>
    <col min="6" max="6" width="12.42578125" style="55" customWidth="1"/>
    <col min="7" max="7" width="14.5703125" style="57" customWidth="1"/>
    <col min="8" max="8" width="16.7109375" style="56" customWidth="1"/>
    <col min="9" max="9" width="28.140625" style="58" bestFit="1" customWidth="1"/>
    <col min="10" max="10" width="48.7109375" style="58" customWidth="1"/>
    <col min="11" max="16384" width="9.140625" style="33"/>
  </cols>
  <sheetData>
    <row r="1" spans="1:10" ht="25.5" customHeight="1">
      <c r="B1" s="41"/>
      <c r="C1" s="41"/>
      <c r="D1" s="84" t="s">
        <v>26</v>
      </c>
      <c r="E1" s="84"/>
      <c r="F1" s="84"/>
      <c r="G1" s="84"/>
      <c r="H1" s="84"/>
      <c r="I1" s="84"/>
      <c r="J1" s="72" t="s">
        <v>269</v>
      </c>
    </row>
    <row r="2" spans="1:10" ht="30.75" customHeight="1">
      <c r="B2" s="41"/>
      <c r="C2" s="41"/>
      <c r="D2" s="84" t="s">
        <v>155</v>
      </c>
      <c r="E2" s="84"/>
      <c r="F2" s="84"/>
      <c r="G2" s="84"/>
      <c r="H2" s="84"/>
      <c r="I2" s="84"/>
      <c r="J2" s="41"/>
    </row>
    <row r="3" spans="1:10" s="55" customFormat="1" ht="31.5">
      <c r="A3" s="67" t="s">
        <v>25</v>
      </c>
      <c r="B3" s="68" t="s">
        <v>31</v>
      </c>
      <c r="C3" s="68" t="s">
        <v>0</v>
      </c>
      <c r="D3" s="68" t="s">
        <v>1</v>
      </c>
      <c r="E3" s="68" t="s">
        <v>171</v>
      </c>
      <c r="F3" s="65" t="s">
        <v>28</v>
      </c>
      <c r="G3" s="66" t="s">
        <v>30</v>
      </c>
      <c r="H3" s="69" t="s">
        <v>29</v>
      </c>
      <c r="I3" s="70" t="s">
        <v>63</v>
      </c>
      <c r="J3" s="69" t="s">
        <v>34</v>
      </c>
    </row>
    <row r="4" spans="1:10" s="42" customFormat="1" ht="50.1" customHeight="1">
      <c r="A4" s="39">
        <v>1</v>
      </c>
      <c r="B4" s="40">
        <v>25522</v>
      </c>
      <c r="C4" s="59" t="s">
        <v>32</v>
      </c>
      <c r="D4" s="60" t="s">
        <v>189</v>
      </c>
      <c r="E4" s="40" t="s">
        <v>173</v>
      </c>
      <c r="F4" s="61">
        <v>42887</v>
      </c>
      <c r="G4" s="62">
        <v>9836682118</v>
      </c>
      <c r="H4" s="40" t="s">
        <v>227</v>
      </c>
      <c r="I4" s="63" t="s">
        <v>154</v>
      </c>
      <c r="J4" s="64" t="s">
        <v>35</v>
      </c>
    </row>
    <row r="5" spans="1:10" s="25" customFormat="1" ht="50.1" customHeight="1">
      <c r="A5" s="71">
        <v>2</v>
      </c>
      <c r="B5" s="20">
        <v>303691</v>
      </c>
      <c r="C5" s="22" t="s">
        <v>215</v>
      </c>
      <c r="D5" s="20" t="s">
        <v>216</v>
      </c>
      <c r="E5" s="20" t="s">
        <v>172</v>
      </c>
      <c r="F5" s="43">
        <v>43640</v>
      </c>
      <c r="G5" s="44">
        <v>9894396544</v>
      </c>
      <c r="H5" s="20">
        <v>6165</v>
      </c>
      <c r="I5" s="45" t="s">
        <v>218</v>
      </c>
      <c r="J5" s="46" t="s">
        <v>217</v>
      </c>
    </row>
    <row r="6" spans="1:10" s="34" customFormat="1" ht="50.1" customHeight="1">
      <c r="A6" s="71">
        <v>3</v>
      </c>
      <c r="B6" s="6">
        <v>7606</v>
      </c>
      <c r="C6" s="31" t="s">
        <v>2</v>
      </c>
      <c r="D6" s="6" t="s">
        <v>180</v>
      </c>
      <c r="E6" s="6" t="s">
        <v>172</v>
      </c>
      <c r="F6" s="37">
        <v>40823</v>
      </c>
      <c r="G6" s="35">
        <v>9634502454</v>
      </c>
      <c r="H6" s="6">
        <v>6180</v>
      </c>
      <c r="I6" s="36" t="s">
        <v>164</v>
      </c>
      <c r="J6" s="38" t="s">
        <v>36</v>
      </c>
    </row>
    <row r="7" spans="1:10" s="25" customFormat="1" ht="50.1" customHeight="1">
      <c r="A7" s="71">
        <v>4</v>
      </c>
      <c r="B7" s="6">
        <v>13296</v>
      </c>
      <c r="C7" s="4" t="s">
        <v>3</v>
      </c>
      <c r="D7" s="6" t="s">
        <v>181</v>
      </c>
      <c r="E7" s="23" t="s">
        <v>172</v>
      </c>
      <c r="F7" s="24">
        <v>41897</v>
      </c>
      <c r="G7" s="47">
        <v>9755885976</v>
      </c>
      <c r="H7" s="23">
        <v>6184</v>
      </c>
      <c r="I7" s="48" t="s">
        <v>64</v>
      </c>
      <c r="J7" s="5" t="s">
        <v>37</v>
      </c>
    </row>
    <row r="8" spans="1:10" s="25" customFormat="1" ht="50.1" customHeight="1">
      <c r="A8" s="71">
        <v>5</v>
      </c>
      <c r="B8" s="6">
        <v>17212</v>
      </c>
      <c r="C8" s="4" t="s">
        <v>22</v>
      </c>
      <c r="D8" s="6" t="s">
        <v>180</v>
      </c>
      <c r="E8" s="23" t="s">
        <v>172</v>
      </c>
      <c r="F8" s="24">
        <v>42627</v>
      </c>
      <c r="G8" s="19">
        <v>9977986610</v>
      </c>
      <c r="H8" s="23">
        <v>6186</v>
      </c>
      <c r="I8" s="21" t="s">
        <v>65</v>
      </c>
      <c r="J8" s="5" t="s">
        <v>38</v>
      </c>
    </row>
    <row r="9" spans="1:10" s="25" customFormat="1" ht="50.1" customHeight="1">
      <c r="A9" s="71">
        <v>6</v>
      </c>
      <c r="B9" s="6">
        <v>26733</v>
      </c>
      <c r="C9" s="4" t="s">
        <v>209</v>
      </c>
      <c r="D9" s="6" t="s">
        <v>181</v>
      </c>
      <c r="E9" s="23" t="s">
        <v>172</v>
      </c>
      <c r="F9" s="24">
        <v>43264</v>
      </c>
      <c r="G9" s="19" t="s">
        <v>193</v>
      </c>
      <c r="H9" s="23"/>
      <c r="I9" s="21" t="s">
        <v>206</v>
      </c>
      <c r="J9" s="5" t="s">
        <v>196</v>
      </c>
    </row>
    <row r="10" spans="1:10" s="25" customFormat="1" ht="50.1" customHeight="1">
      <c r="A10" s="71">
        <v>7</v>
      </c>
      <c r="B10" s="6">
        <v>304891</v>
      </c>
      <c r="C10" s="4" t="s">
        <v>255</v>
      </c>
      <c r="D10" s="6" t="s">
        <v>181</v>
      </c>
      <c r="E10" s="23" t="s">
        <v>172</v>
      </c>
      <c r="F10" s="24">
        <v>43850</v>
      </c>
      <c r="G10" s="19" t="s">
        <v>256</v>
      </c>
      <c r="H10" s="6">
        <v>6185</v>
      </c>
      <c r="I10" s="21" t="s">
        <v>259</v>
      </c>
      <c r="J10" s="5" t="s">
        <v>257</v>
      </c>
    </row>
    <row r="11" spans="1:10" s="25" customFormat="1" ht="50.1" customHeight="1">
      <c r="A11" s="71">
        <v>8</v>
      </c>
      <c r="B11" s="20">
        <v>26865</v>
      </c>
      <c r="C11" s="22" t="s">
        <v>202</v>
      </c>
      <c r="D11" s="20" t="s">
        <v>194</v>
      </c>
      <c r="E11" s="20" t="s">
        <v>174</v>
      </c>
      <c r="F11" s="43">
        <v>43304</v>
      </c>
      <c r="G11" s="44" t="s">
        <v>195</v>
      </c>
      <c r="H11" s="20">
        <v>6109</v>
      </c>
      <c r="I11" s="45" t="s">
        <v>249</v>
      </c>
      <c r="J11" s="46" t="s">
        <v>205</v>
      </c>
    </row>
    <row r="12" spans="1:10" s="34" customFormat="1" ht="50.1" customHeight="1">
      <c r="A12" s="71">
        <v>9</v>
      </c>
      <c r="B12" s="6">
        <v>15388</v>
      </c>
      <c r="C12" s="31" t="s">
        <v>253</v>
      </c>
      <c r="D12" s="6" t="s">
        <v>180</v>
      </c>
      <c r="E12" s="6" t="s">
        <v>174</v>
      </c>
      <c r="F12" s="37">
        <v>42263</v>
      </c>
      <c r="G12" s="35">
        <v>8519027676</v>
      </c>
      <c r="H12" s="6">
        <v>6175</v>
      </c>
      <c r="I12" s="36" t="s">
        <v>66</v>
      </c>
      <c r="J12" s="38" t="s">
        <v>39</v>
      </c>
    </row>
    <row r="13" spans="1:10" s="25" customFormat="1" ht="50.1" customHeight="1">
      <c r="A13" s="71">
        <v>10</v>
      </c>
      <c r="B13" s="18">
        <v>16508</v>
      </c>
      <c r="C13" s="4" t="s">
        <v>27</v>
      </c>
      <c r="D13" s="6" t="s">
        <v>183</v>
      </c>
      <c r="E13" s="23" t="s">
        <v>174</v>
      </c>
      <c r="F13" s="24">
        <v>42552</v>
      </c>
      <c r="G13" s="19">
        <v>9899307496</v>
      </c>
      <c r="H13" s="23">
        <v>6179</v>
      </c>
      <c r="I13" s="21" t="s">
        <v>67</v>
      </c>
      <c r="J13" s="5" t="s">
        <v>40</v>
      </c>
    </row>
    <row r="14" spans="1:10" s="25" customFormat="1" ht="50.1" customHeight="1">
      <c r="A14" s="71">
        <v>11</v>
      </c>
      <c r="B14" s="6">
        <v>7462</v>
      </c>
      <c r="C14" s="4" t="s">
        <v>4</v>
      </c>
      <c r="D14" s="6" t="s">
        <v>182</v>
      </c>
      <c r="E14" s="23" t="s">
        <v>174</v>
      </c>
      <c r="F14" s="24">
        <v>40744</v>
      </c>
      <c r="G14" s="47">
        <v>8878644486</v>
      </c>
      <c r="H14" s="23">
        <v>6132</v>
      </c>
      <c r="I14" s="48" t="s">
        <v>68</v>
      </c>
      <c r="J14" s="5" t="s">
        <v>41</v>
      </c>
    </row>
    <row r="15" spans="1:10" s="25" customFormat="1" ht="50.1" customHeight="1">
      <c r="A15" s="71">
        <v>12</v>
      </c>
      <c r="B15" s="6">
        <v>11038</v>
      </c>
      <c r="C15" s="3" t="s">
        <v>251</v>
      </c>
      <c r="D15" s="6" t="s">
        <v>180</v>
      </c>
      <c r="E15" s="23" t="s">
        <v>174</v>
      </c>
      <c r="F15" s="24">
        <v>41512</v>
      </c>
      <c r="G15" s="47">
        <v>9897287778</v>
      </c>
      <c r="H15" s="18">
        <v>6186</v>
      </c>
      <c r="I15" s="48" t="s">
        <v>69</v>
      </c>
      <c r="J15" s="5" t="s">
        <v>42</v>
      </c>
    </row>
    <row r="16" spans="1:10" s="25" customFormat="1" ht="50.1" customHeight="1">
      <c r="A16" s="71">
        <v>13</v>
      </c>
      <c r="B16" s="6">
        <v>8081</v>
      </c>
      <c r="C16" s="4" t="s">
        <v>5</v>
      </c>
      <c r="D16" s="6" t="s">
        <v>182</v>
      </c>
      <c r="E16" s="23" t="s">
        <v>174</v>
      </c>
      <c r="F16" s="24">
        <v>40969</v>
      </c>
      <c r="G16" s="19">
        <v>8878844486</v>
      </c>
      <c r="H16" s="23">
        <v>6130</v>
      </c>
      <c r="I16" s="21" t="s">
        <v>70</v>
      </c>
      <c r="J16" s="5" t="s">
        <v>43</v>
      </c>
    </row>
    <row r="17" spans="1:10" s="25" customFormat="1" ht="50.1" customHeight="1">
      <c r="A17" s="71">
        <v>14</v>
      </c>
      <c r="B17" s="6">
        <v>11032</v>
      </c>
      <c r="C17" s="3" t="s">
        <v>6</v>
      </c>
      <c r="D17" s="6" t="s">
        <v>181</v>
      </c>
      <c r="E17" s="23" t="s">
        <v>174</v>
      </c>
      <c r="F17" s="24">
        <v>41512</v>
      </c>
      <c r="G17" s="19">
        <v>9407213273</v>
      </c>
      <c r="H17" s="23">
        <v>6137</v>
      </c>
      <c r="I17" s="21" t="s">
        <v>71</v>
      </c>
      <c r="J17" s="5" t="s">
        <v>44</v>
      </c>
    </row>
    <row r="18" spans="1:10" s="25" customFormat="1" ht="50.1" customHeight="1">
      <c r="A18" s="71">
        <v>15</v>
      </c>
      <c r="B18" s="6">
        <v>12069</v>
      </c>
      <c r="C18" s="3" t="s">
        <v>7</v>
      </c>
      <c r="D18" s="6" t="s">
        <v>180</v>
      </c>
      <c r="E18" s="23" t="s">
        <v>174</v>
      </c>
      <c r="F18" s="24">
        <v>41708</v>
      </c>
      <c r="G18" s="49">
        <v>9993166774</v>
      </c>
      <c r="H18" s="23">
        <v>6138</v>
      </c>
      <c r="I18" s="50" t="s">
        <v>72</v>
      </c>
      <c r="J18" s="51" t="s">
        <v>45</v>
      </c>
    </row>
    <row r="19" spans="1:10" s="25" customFormat="1" ht="50.1" customHeight="1">
      <c r="A19" s="71">
        <v>16</v>
      </c>
      <c r="B19" s="6">
        <v>13030</v>
      </c>
      <c r="C19" s="3" t="s">
        <v>8</v>
      </c>
      <c r="D19" s="6" t="s">
        <v>182</v>
      </c>
      <c r="E19" s="23" t="s">
        <v>174</v>
      </c>
      <c r="F19" s="24">
        <v>41850</v>
      </c>
      <c r="G19" s="52">
        <v>9229125600</v>
      </c>
      <c r="H19" s="23">
        <v>6133</v>
      </c>
      <c r="I19" s="53" t="s">
        <v>73</v>
      </c>
      <c r="J19" s="51" t="s">
        <v>46</v>
      </c>
    </row>
    <row r="20" spans="1:10" s="25" customFormat="1" ht="50.1" customHeight="1">
      <c r="A20" s="71">
        <v>17</v>
      </c>
      <c r="B20" s="6">
        <v>15099</v>
      </c>
      <c r="C20" s="4" t="s">
        <v>9</v>
      </c>
      <c r="D20" s="6" t="s">
        <v>180</v>
      </c>
      <c r="E20" s="23" t="s">
        <v>174</v>
      </c>
      <c r="F20" s="24">
        <v>42240</v>
      </c>
      <c r="G20" s="49">
        <v>9893432083</v>
      </c>
      <c r="H20" s="23">
        <v>6139</v>
      </c>
      <c r="I20" s="50" t="s">
        <v>74</v>
      </c>
      <c r="J20" s="51" t="s">
        <v>47</v>
      </c>
    </row>
    <row r="21" spans="1:10" s="25" customFormat="1" ht="50.1" customHeight="1">
      <c r="A21" s="71">
        <v>18</v>
      </c>
      <c r="B21" s="6">
        <v>15437</v>
      </c>
      <c r="C21" s="4" t="s">
        <v>10</v>
      </c>
      <c r="D21" s="6" t="s">
        <v>182</v>
      </c>
      <c r="E21" s="23" t="s">
        <v>174</v>
      </c>
      <c r="F21" s="24">
        <v>42276</v>
      </c>
      <c r="G21" s="49">
        <v>8909857121</v>
      </c>
      <c r="H21" s="23">
        <v>6174</v>
      </c>
      <c r="I21" s="50" t="s">
        <v>75</v>
      </c>
      <c r="J21" s="51" t="s">
        <v>48</v>
      </c>
    </row>
    <row r="22" spans="1:10" s="25" customFormat="1" ht="50.1" customHeight="1">
      <c r="A22" s="71">
        <v>19</v>
      </c>
      <c r="B22" s="6">
        <v>15511</v>
      </c>
      <c r="C22" s="4" t="s">
        <v>11</v>
      </c>
      <c r="D22" s="6" t="s">
        <v>181</v>
      </c>
      <c r="E22" s="23" t="s">
        <v>174</v>
      </c>
      <c r="F22" s="24">
        <v>42289</v>
      </c>
      <c r="G22" s="49">
        <v>9755319747</v>
      </c>
      <c r="H22" s="23">
        <v>6133</v>
      </c>
      <c r="I22" s="50" t="s">
        <v>76</v>
      </c>
      <c r="J22" s="51" t="s">
        <v>49</v>
      </c>
    </row>
    <row r="23" spans="1:10" s="25" customFormat="1" ht="50.1" customHeight="1">
      <c r="A23" s="71">
        <v>20</v>
      </c>
      <c r="B23" s="6">
        <v>15501</v>
      </c>
      <c r="C23" s="4" t="s">
        <v>12</v>
      </c>
      <c r="D23" s="6" t="s">
        <v>181</v>
      </c>
      <c r="E23" s="23" t="s">
        <v>174</v>
      </c>
      <c r="F23" s="24">
        <v>42303</v>
      </c>
      <c r="G23" s="49">
        <v>8439013107</v>
      </c>
      <c r="H23" s="23">
        <v>6174</v>
      </c>
      <c r="I23" s="50" t="s">
        <v>77</v>
      </c>
      <c r="J23" s="51" t="s">
        <v>50</v>
      </c>
    </row>
    <row r="24" spans="1:10" s="25" customFormat="1" ht="50.1" customHeight="1">
      <c r="A24" s="71">
        <v>21</v>
      </c>
      <c r="B24" s="6">
        <v>304428</v>
      </c>
      <c r="C24" s="4" t="s">
        <v>231</v>
      </c>
      <c r="D24" s="6" t="s">
        <v>181</v>
      </c>
      <c r="E24" s="23" t="s">
        <v>174</v>
      </c>
      <c r="F24" s="24">
        <v>43747</v>
      </c>
      <c r="G24" s="49" t="s">
        <v>229</v>
      </c>
      <c r="H24" s="23">
        <v>6118</v>
      </c>
      <c r="I24" s="23" t="s">
        <v>232</v>
      </c>
      <c r="J24" s="51" t="s">
        <v>230</v>
      </c>
    </row>
    <row r="25" spans="1:10" s="25" customFormat="1" ht="50.1" customHeight="1">
      <c r="A25" s="71">
        <v>22</v>
      </c>
      <c r="B25" s="6">
        <v>304528</v>
      </c>
      <c r="C25" s="4" t="s">
        <v>233</v>
      </c>
      <c r="D25" s="6" t="s">
        <v>182</v>
      </c>
      <c r="E25" s="23" t="s">
        <v>174</v>
      </c>
      <c r="F25" s="24">
        <v>43762</v>
      </c>
      <c r="G25" s="49" t="s">
        <v>234</v>
      </c>
      <c r="H25" s="23">
        <v>6169</v>
      </c>
      <c r="I25" s="23" t="s">
        <v>248</v>
      </c>
      <c r="J25" s="51" t="s">
        <v>235</v>
      </c>
    </row>
    <row r="26" spans="1:10" s="25" customFormat="1" ht="50.1" customHeight="1">
      <c r="A26" s="71">
        <v>23</v>
      </c>
      <c r="B26" s="6">
        <v>304697</v>
      </c>
      <c r="C26" s="4" t="s">
        <v>241</v>
      </c>
      <c r="D26" s="6" t="s">
        <v>185</v>
      </c>
      <c r="E26" s="23" t="s">
        <v>174</v>
      </c>
      <c r="F26" s="24">
        <v>43822</v>
      </c>
      <c r="G26" s="49" t="s">
        <v>244</v>
      </c>
      <c r="H26" s="23">
        <v>6174</v>
      </c>
      <c r="I26" s="23" t="s">
        <v>243</v>
      </c>
      <c r="J26" s="51" t="s">
        <v>242</v>
      </c>
    </row>
    <row r="27" spans="1:10" s="25" customFormat="1" ht="50.1" customHeight="1">
      <c r="A27" s="71">
        <v>24</v>
      </c>
      <c r="B27" s="6">
        <v>305065</v>
      </c>
      <c r="C27" s="4" t="s">
        <v>261</v>
      </c>
      <c r="D27" s="6" t="s">
        <v>185</v>
      </c>
      <c r="E27" s="23" t="s">
        <v>174</v>
      </c>
      <c r="F27" s="24">
        <v>43892</v>
      </c>
      <c r="G27" s="49" t="s">
        <v>262</v>
      </c>
      <c r="H27" s="23">
        <v>6169</v>
      </c>
      <c r="I27" s="23" t="s">
        <v>260</v>
      </c>
      <c r="J27" s="51" t="s">
        <v>263</v>
      </c>
    </row>
    <row r="28" spans="1:10" s="25" customFormat="1" ht="50.1" customHeight="1">
      <c r="A28" s="71">
        <v>25</v>
      </c>
      <c r="B28" s="73">
        <v>305265</v>
      </c>
      <c r="C28" s="74" t="s">
        <v>265</v>
      </c>
      <c r="D28" s="73" t="s">
        <v>185</v>
      </c>
      <c r="E28" s="75" t="s">
        <v>174</v>
      </c>
      <c r="F28" s="76">
        <v>44112</v>
      </c>
      <c r="G28" s="77" t="s">
        <v>266</v>
      </c>
      <c r="H28" s="75"/>
      <c r="I28" s="79" t="s">
        <v>268</v>
      </c>
      <c r="J28" s="78" t="s">
        <v>267</v>
      </c>
    </row>
    <row r="29" spans="1:10" s="25" customFormat="1" ht="50.1" customHeight="1">
      <c r="A29" s="71">
        <v>26</v>
      </c>
      <c r="B29" s="20">
        <v>17011</v>
      </c>
      <c r="C29" s="22" t="s">
        <v>203</v>
      </c>
      <c r="D29" s="20" t="s">
        <v>184</v>
      </c>
      <c r="E29" s="20" t="s">
        <v>175</v>
      </c>
      <c r="F29" s="43">
        <v>42594</v>
      </c>
      <c r="G29" s="44">
        <v>9412491160</v>
      </c>
      <c r="H29" s="20">
        <v>6355</v>
      </c>
      <c r="I29" s="45" t="s">
        <v>78</v>
      </c>
      <c r="J29" s="46" t="s">
        <v>51</v>
      </c>
    </row>
    <row r="30" spans="1:10" s="25" customFormat="1" ht="50.1" customHeight="1">
      <c r="A30" s="71">
        <v>27</v>
      </c>
      <c r="B30" s="6">
        <v>11275</v>
      </c>
      <c r="C30" s="3" t="s">
        <v>13</v>
      </c>
      <c r="D30" s="6" t="s">
        <v>180</v>
      </c>
      <c r="E30" s="18" t="s">
        <v>175</v>
      </c>
      <c r="F30" s="24">
        <v>41540</v>
      </c>
      <c r="G30" s="49">
        <v>9827680640</v>
      </c>
      <c r="H30" s="18">
        <v>6367</v>
      </c>
      <c r="I30" s="50" t="s">
        <v>79</v>
      </c>
      <c r="J30" s="51" t="s">
        <v>52</v>
      </c>
    </row>
    <row r="31" spans="1:10" s="25" customFormat="1" ht="50.1" customHeight="1">
      <c r="A31" s="71">
        <v>28</v>
      </c>
      <c r="B31" s="18">
        <v>7461</v>
      </c>
      <c r="C31" s="4" t="s">
        <v>14</v>
      </c>
      <c r="D31" s="6" t="s">
        <v>185</v>
      </c>
      <c r="E31" s="18" t="s">
        <v>175</v>
      </c>
      <c r="F31" s="24">
        <v>40710</v>
      </c>
      <c r="G31" s="49">
        <v>8989563787</v>
      </c>
      <c r="H31" s="23">
        <v>6339</v>
      </c>
      <c r="I31" s="50" t="s">
        <v>80</v>
      </c>
      <c r="J31" s="51" t="s">
        <v>53</v>
      </c>
    </row>
    <row r="32" spans="1:10" s="25" customFormat="1" ht="50.1" customHeight="1">
      <c r="A32" s="71">
        <v>29</v>
      </c>
      <c r="B32" s="6">
        <v>8829</v>
      </c>
      <c r="C32" s="4" t="s">
        <v>15</v>
      </c>
      <c r="D32" s="6" t="s">
        <v>182</v>
      </c>
      <c r="E32" s="18" t="s">
        <v>175</v>
      </c>
      <c r="F32" s="24">
        <v>41142</v>
      </c>
      <c r="G32" s="49">
        <v>9039038453</v>
      </c>
      <c r="H32" s="23">
        <v>6367</v>
      </c>
      <c r="I32" s="50" t="s">
        <v>81</v>
      </c>
      <c r="J32" s="51" t="s">
        <v>54</v>
      </c>
    </row>
    <row r="33" spans="1:10" s="25" customFormat="1" ht="50.1" customHeight="1">
      <c r="A33" s="71">
        <v>30</v>
      </c>
      <c r="B33" s="6">
        <v>11141</v>
      </c>
      <c r="C33" s="3" t="s">
        <v>16</v>
      </c>
      <c r="D33" s="6" t="s">
        <v>182</v>
      </c>
      <c r="E33" s="18" t="s">
        <v>175</v>
      </c>
      <c r="F33" s="24">
        <v>41522</v>
      </c>
      <c r="G33" s="49">
        <v>8349871150</v>
      </c>
      <c r="H33" s="18">
        <v>6339</v>
      </c>
      <c r="I33" s="50" t="s">
        <v>82</v>
      </c>
      <c r="J33" s="51" t="s">
        <v>55</v>
      </c>
    </row>
    <row r="34" spans="1:10" s="25" customFormat="1" ht="50.1" customHeight="1">
      <c r="A34" s="71">
        <v>31</v>
      </c>
      <c r="B34" s="6">
        <v>11089</v>
      </c>
      <c r="C34" s="3" t="s">
        <v>23</v>
      </c>
      <c r="D34" s="6" t="s">
        <v>182</v>
      </c>
      <c r="E34" s="18" t="s">
        <v>175</v>
      </c>
      <c r="F34" s="24">
        <v>41519</v>
      </c>
      <c r="G34" s="19">
        <v>8962798496</v>
      </c>
      <c r="H34" s="23">
        <v>6188</v>
      </c>
      <c r="I34" s="21" t="s">
        <v>83</v>
      </c>
      <c r="J34" s="5" t="s">
        <v>56</v>
      </c>
    </row>
    <row r="35" spans="1:10" s="25" customFormat="1" ht="50.1" customHeight="1">
      <c r="A35" s="71">
        <v>32</v>
      </c>
      <c r="B35" s="6">
        <v>26756</v>
      </c>
      <c r="C35" s="4" t="s">
        <v>192</v>
      </c>
      <c r="D35" s="23" t="s">
        <v>181</v>
      </c>
      <c r="E35" s="18" t="s">
        <v>175</v>
      </c>
      <c r="F35" s="24">
        <v>43283</v>
      </c>
      <c r="G35" s="19" t="s">
        <v>190</v>
      </c>
      <c r="H35" s="18">
        <v>6337</v>
      </c>
      <c r="I35" s="21" t="s">
        <v>207</v>
      </c>
      <c r="J35" s="5" t="s">
        <v>191</v>
      </c>
    </row>
    <row r="36" spans="1:10" s="25" customFormat="1" ht="50.1" customHeight="1">
      <c r="A36" s="71">
        <v>33</v>
      </c>
      <c r="B36" s="20">
        <v>304877</v>
      </c>
      <c r="C36" s="22" t="s">
        <v>258</v>
      </c>
      <c r="D36" s="20" t="s">
        <v>252</v>
      </c>
      <c r="E36" s="20" t="s">
        <v>176</v>
      </c>
      <c r="F36" s="43">
        <v>43846</v>
      </c>
      <c r="G36" s="44" t="s">
        <v>264</v>
      </c>
      <c r="H36" s="20">
        <v>6328</v>
      </c>
      <c r="I36" s="45" t="s">
        <v>254</v>
      </c>
      <c r="J36" s="46"/>
    </row>
    <row r="37" spans="1:10" s="25" customFormat="1" ht="50.1" customHeight="1">
      <c r="A37" s="71">
        <v>34</v>
      </c>
      <c r="B37" s="6">
        <v>9757</v>
      </c>
      <c r="C37" s="4" t="s">
        <v>17</v>
      </c>
      <c r="D37" s="6" t="s">
        <v>180</v>
      </c>
      <c r="E37" s="23" t="s">
        <v>176</v>
      </c>
      <c r="F37" s="24">
        <v>41323</v>
      </c>
      <c r="G37" s="19">
        <v>9425756627</v>
      </c>
      <c r="H37" s="18">
        <v>6327</v>
      </c>
      <c r="I37" s="21" t="s">
        <v>84</v>
      </c>
      <c r="J37" s="5" t="s">
        <v>57</v>
      </c>
    </row>
    <row r="38" spans="1:10" s="25" customFormat="1" ht="50.1" customHeight="1">
      <c r="A38" s="71">
        <v>35</v>
      </c>
      <c r="B38" s="6">
        <v>26578</v>
      </c>
      <c r="C38" s="4" t="s">
        <v>165</v>
      </c>
      <c r="D38" s="6" t="s">
        <v>181</v>
      </c>
      <c r="E38" s="23" t="s">
        <v>176</v>
      </c>
      <c r="F38" s="24">
        <v>43202</v>
      </c>
      <c r="G38" s="19" t="s">
        <v>167</v>
      </c>
      <c r="H38" s="18">
        <v>6364</v>
      </c>
      <c r="I38" s="21" t="s">
        <v>168</v>
      </c>
      <c r="J38" s="5" t="s">
        <v>166</v>
      </c>
    </row>
    <row r="39" spans="1:10" s="25" customFormat="1" ht="50.1" customHeight="1">
      <c r="A39" s="71">
        <v>36</v>
      </c>
      <c r="B39" s="6">
        <v>26755</v>
      </c>
      <c r="C39" s="4" t="s">
        <v>210</v>
      </c>
      <c r="D39" s="6" t="s">
        <v>181</v>
      </c>
      <c r="E39" s="23" t="s">
        <v>176</v>
      </c>
      <c r="F39" s="24">
        <v>43273</v>
      </c>
      <c r="G39" s="19" t="s">
        <v>169</v>
      </c>
      <c r="H39" s="18">
        <v>6335</v>
      </c>
      <c r="I39" s="21" t="s">
        <v>247</v>
      </c>
      <c r="J39" s="5" t="s">
        <v>170</v>
      </c>
    </row>
    <row r="40" spans="1:10" s="25" customFormat="1" ht="50.1" customHeight="1">
      <c r="A40" s="71">
        <v>37</v>
      </c>
      <c r="B40" s="6">
        <v>26950</v>
      </c>
      <c r="C40" s="4" t="s">
        <v>200</v>
      </c>
      <c r="D40" s="6" t="s">
        <v>181</v>
      </c>
      <c r="E40" s="23" t="s">
        <v>176</v>
      </c>
      <c r="F40" s="24">
        <v>43315</v>
      </c>
      <c r="G40" s="19" t="s">
        <v>204</v>
      </c>
      <c r="H40" s="18">
        <v>6335</v>
      </c>
      <c r="I40" s="21" t="s">
        <v>208</v>
      </c>
      <c r="J40" s="5" t="s">
        <v>201</v>
      </c>
    </row>
    <row r="41" spans="1:10" s="25" customFormat="1" ht="50.1" customHeight="1">
      <c r="A41" s="71">
        <v>38</v>
      </c>
      <c r="B41" s="6">
        <v>304412</v>
      </c>
      <c r="C41" s="4" t="s">
        <v>224</v>
      </c>
      <c r="D41" s="6" t="s">
        <v>197</v>
      </c>
      <c r="E41" s="23" t="s">
        <v>176</v>
      </c>
      <c r="F41" s="24">
        <v>43739</v>
      </c>
      <c r="G41" s="19" t="s">
        <v>236</v>
      </c>
      <c r="H41" s="18">
        <v>6327</v>
      </c>
      <c r="I41" s="21" t="s">
        <v>246</v>
      </c>
      <c r="J41" s="5"/>
    </row>
    <row r="42" spans="1:10" s="25" customFormat="1" ht="50.1" customHeight="1">
      <c r="A42" s="71">
        <v>39</v>
      </c>
      <c r="B42" s="20">
        <v>9020</v>
      </c>
      <c r="C42" s="22" t="s">
        <v>18</v>
      </c>
      <c r="D42" s="20" t="s">
        <v>185</v>
      </c>
      <c r="E42" s="20" t="s">
        <v>177</v>
      </c>
      <c r="F42" s="43">
        <v>41176</v>
      </c>
      <c r="G42" s="44">
        <v>9424405501</v>
      </c>
      <c r="H42" s="20">
        <v>6182</v>
      </c>
      <c r="I42" s="45" t="s">
        <v>85</v>
      </c>
      <c r="J42" s="46" t="s">
        <v>58</v>
      </c>
    </row>
    <row r="43" spans="1:10" s="25" customFormat="1" ht="50.1" customHeight="1">
      <c r="A43" s="71">
        <v>40</v>
      </c>
      <c r="B43" s="18">
        <v>7464</v>
      </c>
      <c r="C43" s="4" t="s">
        <v>33</v>
      </c>
      <c r="D43" s="6" t="s">
        <v>186</v>
      </c>
      <c r="E43" s="23" t="s">
        <v>177</v>
      </c>
      <c r="F43" s="24">
        <v>40749</v>
      </c>
      <c r="G43" s="19">
        <v>7389032010</v>
      </c>
      <c r="H43" s="23">
        <v>6189</v>
      </c>
      <c r="I43" s="21" t="s">
        <v>86</v>
      </c>
      <c r="J43" s="5" t="s">
        <v>48</v>
      </c>
    </row>
    <row r="44" spans="1:10" s="25" customFormat="1" ht="50.1" customHeight="1">
      <c r="A44" s="71">
        <v>41</v>
      </c>
      <c r="B44" s="18">
        <v>17481</v>
      </c>
      <c r="C44" s="4" t="s">
        <v>24</v>
      </c>
      <c r="D44" s="6" t="s">
        <v>181</v>
      </c>
      <c r="E44" s="23" t="s">
        <v>177</v>
      </c>
      <c r="F44" s="24">
        <v>42683</v>
      </c>
      <c r="G44" s="19">
        <v>8866014107</v>
      </c>
      <c r="H44" s="23">
        <v>6188</v>
      </c>
      <c r="I44" s="21" t="s">
        <v>87</v>
      </c>
      <c r="J44" s="5" t="s">
        <v>59</v>
      </c>
    </row>
    <row r="45" spans="1:10" s="25" customFormat="1" ht="50.1" customHeight="1">
      <c r="A45" s="71">
        <v>42</v>
      </c>
      <c r="B45" s="20">
        <v>7463</v>
      </c>
      <c r="C45" s="22" t="s">
        <v>19</v>
      </c>
      <c r="D45" s="20" t="s">
        <v>187</v>
      </c>
      <c r="E45" s="20" t="s">
        <v>178</v>
      </c>
      <c r="F45" s="43">
        <v>40766</v>
      </c>
      <c r="G45" s="44" t="s">
        <v>211</v>
      </c>
      <c r="H45" s="20">
        <v>6189</v>
      </c>
      <c r="I45" s="45" t="s">
        <v>88</v>
      </c>
      <c r="J45" s="46" t="s">
        <v>60</v>
      </c>
    </row>
    <row r="46" spans="1:10" s="25" customFormat="1" ht="50.1" customHeight="1">
      <c r="A46" s="71">
        <v>43</v>
      </c>
      <c r="B46" s="18">
        <v>25553</v>
      </c>
      <c r="C46" s="4" t="s">
        <v>156</v>
      </c>
      <c r="D46" s="6" t="s">
        <v>181</v>
      </c>
      <c r="E46" s="23" t="s">
        <v>178</v>
      </c>
      <c r="F46" s="24">
        <v>42906</v>
      </c>
      <c r="G46" s="19">
        <v>8109684340</v>
      </c>
      <c r="H46" s="23">
        <v>6187</v>
      </c>
      <c r="I46" s="21" t="s">
        <v>158</v>
      </c>
      <c r="J46" s="5" t="s">
        <v>157</v>
      </c>
    </row>
    <row r="47" spans="1:10" s="25" customFormat="1" ht="50.1" customHeight="1">
      <c r="A47" s="71">
        <v>44</v>
      </c>
      <c r="B47" s="20">
        <v>304384</v>
      </c>
      <c r="C47" s="22" t="s">
        <v>221</v>
      </c>
      <c r="D47" s="20" t="s">
        <v>222</v>
      </c>
      <c r="E47" s="20" t="s">
        <v>179</v>
      </c>
      <c r="F47" s="43">
        <v>43731</v>
      </c>
      <c r="G47" s="44" t="s">
        <v>228</v>
      </c>
      <c r="H47" s="20">
        <v>6131</v>
      </c>
      <c r="I47" s="45" t="s">
        <v>226</v>
      </c>
      <c r="J47" s="46" t="s">
        <v>223</v>
      </c>
    </row>
    <row r="48" spans="1:10" s="34" customFormat="1" ht="50.1" customHeight="1">
      <c r="A48" s="71">
        <v>45</v>
      </c>
      <c r="B48" s="6">
        <v>9130</v>
      </c>
      <c r="C48" s="31" t="s">
        <v>20</v>
      </c>
      <c r="D48" s="6" t="s">
        <v>188</v>
      </c>
      <c r="E48" s="6" t="s">
        <v>179</v>
      </c>
      <c r="F48" s="37">
        <v>41194</v>
      </c>
      <c r="G48" s="35">
        <v>9425120252</v>
      </c>
      <c r="H48" s="6" t="s">
        <v>161</v>
      </c>
      <c r="I48" s="36" t="s">
        <v>89</v>
      </c>
      <c r="J48" s="38" t="s">
        <v>61</v>
      </c>
    </row>
    <row r="49" spans="1:10" s="25" customFormat="1" ht="50.1" customHeight="1">
      <c r="A49" s="71">
        <v>46</v>
      </c>
      <c r="B49" s="6">
        <v>11970</v>
      </c>
      <c r="C49" s="4" t="s">
        <v>21</v>
      </c>
      <c r="D49" s="6" t="s">
        <v>188</v>
      </c>
      <c r="E49" s="23" t="s">
        <v>179</v>
      </c>
      <c r="F49" s="24">
        <v>41694</v>
      </c>
      <c r="G49" s="19">
        <v>9617065024</v>
      </c>
      <c r="H49" s="23">
        <v>6136</v>
      </c>
      <c r="I49" s="21" t="s">
        <v>90</v>
      </c>
      <c r="J49" s="5" t="s">
        <v>62</v>
      </c>
    </row>
    <row r="50" spans="1:10" s="25" customFormat="1" ht="50.1" customHeight="1">
      <c r="A50" s="71">
        <v>47</v>
      </c>
      <c r="B50" s="18">
        <v>304356</v>
      </c>
      <c r="C50" s="4" t="s">
        <v>219</v>
      </c>
      <c r="D50" s="6" t="s">
        <v>185</v>
      </c>
      <c r="E50" s="23" t="s">
        <v>179</v>
      </c>
      <c r="F50" s="24">
        <v>43725</v>
      </c>
      <c r="G50" s="19">
        <v>9897482861</v>
      </c>
      <c r="H50" s="23">
        <v>6135</v>
      </c>
      <c r="I50" s="21" t="s">
        <v>225</v>
      </c>
      <c r="J50" s="5" t="s">
        <v>220</v>
      </c>
    </row>
  </sheetData>
  <autoFilter ref="A3:J50"/>
  <mergeCells count="2">
    <mergeCell ref="D1:I1"/>
    <mergeCell ref="D2:I2"/>
  </mergeCells>
  <conditionalFormatting sqref="A50:B50 H42:H45 H46:J50 H37 H34 H36:J36 I34:J45 D47:D48 D45 D42 D36 D29 A36:B37 D12 E4:E5 E7 D11:F11 F4:G7 A4:B23 H4:J33 B24:B49 E8:G50 A5:A50">
    <cfRule type="containsBlanks" dxfId="7" priority="35">
      <formula>LEN(TRIM(A4))=0</formula>
    </cfRule>
  </conditionalFormatting>
  <hyperlinks>
    <hyperlink ref="I46" r:id="rId1"/>
    <hyperlink ref="I6" r:id="rId2"/>
    <hyperlink ref="I38" r:id="rId3"/>
    <hyperlink ref="I9" r:id="rId4"/>
    <hyperlink ref="I35" r:id="rId5"/>
    <hyperlink ref="I40" r:id="rId6"/>
    <hyperlink ref="I50" r:id="rId7"/>
    <hyperlink ref="I47" r:id="rId8"/>
    <hyperlink ref="I24" r:id="rId9"/>
    <hyperlink ref="I26" r:id="rId10"/>
    <hyperlink ref="I41" r:id="rId11"/>
    <hyperlink ref="I39" r:id="rId12"/>
    <hyperlink ref="I25" r:id="rId13"/>
    <hyperlink ref="I11" r:id="rId14"/>
    <hyperlink ref="I36" r:id="rId15"/>
    <hyperlink ref="I10" r:id="rId16"/>
    <hyperlink ref="I27" r:id="rId17"/>
    <hyperlink ref="I28" r:id="rId18"/>
  </hyperlinks>
  <printOptions horizontalCentered="1"/>
  <pageMargins left="0.39370078740157483" right="0.39370078740157483" top="0.39370078740157483" bottom="0.15748031496062992" header="0.19685039370078741" footer="0.15748031496062992"/>
  <pageSetup paperSize="9" scale="60" orientation="landscape" verticalDpi="200" r:id="rId19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opLeftCell="A2" zoomScale="70" zoomScaleNormal="70" zoomScaleSheetLayoutView="115" workbookViewId="0">
      <selection activeCell="C23" sqref="C23"/>
    </sheetView>
  </sheetViews>
  <sheetFormatPr defaultRowHeight="15"/>
  <cols>
    <col min="1" max="1" width="5.42578125" style="10" customWidth="1"/>
    <col min="2" max="2" width="9.42578125" style="10" customWidth="1"/>
    <col min="3" max="3" width="35.140625" style="11" customWidth="1"/>
    <col min="4" max="4" width="28.28515625" style="12" customWidth="1"/>
    <col min="5" max="5" width="13" style="12" customWidth="1"/>
    <col min="6" max="6" width="14.28515625" style="17" customWidth="1"/>
    <col min="7" max="7" width="13.7109375" style="7" customWidth="1"/>
    <col min="8" max="8" width="30.5703125" style="7" customWidth="1"/>
    <col min="9" max="9" width="44" style="13" customWidth="1"/>
    <col min="10" max="16384" width="9.140625" style="8"/>
  </cols>
  <sheetData>
    <row r="1" spans="1:9" ht="25.5" customHeight="1">
      <c r="A1" s="85" t="s">
        <v>26</v>
      </c>
      <c r="B1" s="85"/>
      <c r="C1" s="85"/>
      <c r="D1" s="85"/>
      <c r="E1" s="85"/>
      <c r="F1" s="85"/>
      <c r="G1" s="85"/>
      <c r="H1" s="85"/>
      <c r="I1" s="85"/>
    </row>
    <row r="2" spans="1:9" ht="34.5" customHeight="1">
      <c r="A2" s="86" t="s">
        <v>159</v>
      </c>
      <c r="B2" s="86"/>
      <c r="C2" s="86"/>
      <c r="D2" s="86"/>
      <c r="E2" s="86"/>
      <c r="F2" s="86"/>
      <c r="G2" s="86"/>
      <c r="H2" s="86"/>
      <c r="I2" s="86"/>
    </row>
    <row r="3" spans="1:9" ht="16.5" customHeight="1">
      <c r="A3" s="87" t="s">
        <v>25</v>
      </c>
      <c r="B3" s="87" t="s">
        <v>91</v>
      </c>
      <c r="C3" s="87" t="s">
        <v>0</v>
      </c>
      <c r="D3" s="87" t="s">
        <v>1</v>
      </c>
      <c r="E3" s="87" t="s">
        <v>28</v>
      </c>
      <c r="F3" s="88" t="s">
        <v>30</v>
      </c>
      <c r="G3" s="87" t="s">
        <v>29</v>
      </c>
      <c r="H3" s="87" t="s">
        <v>92</v>
      </c>
      <c r="I3" s="89" t="s">
        <v>34</v>
      </c>
    </row>
    <row r="4" spans="1:9" ht="16.5" customHeight="1">
      <c r="A4" s="87"/>
      <c r="B4" s="87"/>
      <c r="C4" s="87"/>
      <c r="D4" s="87"/>
      <c r="E4" s="87"/>
      <c r="F4" s="88"/>
      <c r="G4" s="87"/>
      <c r="H4" s="87"/>
      <c r="I4" s="89"/>
    </row>
    <row r="5" spans="1:9" s="9" customFormat="1" ht="50.1" customHeight="1">
      <c r="A5" s="26">
        <v>1</v>
      </c>
      <c r="B5" s="26">
        <v>9896</v>
      </c>
      <c r="C5" s="27" t="s">
        <v>93</v>
      </c>
      <c r="D5" s="26" t="s">
        <v>94</v>
      </c>
      <c r="E5" s="28">
        <v>41348</v>
      </c>
      <c r="F5" s="29" t="s">
        <v>95</v>
      </c>
      <c r="G5" s="26">
        <v>6191</v>
      </c>
      <c r="H5" s="26" t="s">
        <v>96</v>
      </c>
      <c r="I5" s="30" t="s">
        <v>97</v>
      </c>
    </row>
    <row r="6" spans="1:9" s="9" customFormat="1" ht="50.1" customHeight="1">
      <c r="A6" s="26">
        <v>2</v>
      </c>
      <c r="B6" s="2">
        <v>17121</v>
      </c>
      <c r="C6" s="1" t="s">
        <v>99</v>
      </c>
      <c r="D6" s="2" t="s">
        <v>98</v>
      </c>
      <c r="E6" s="14">
        <v>42614</v>
      </c>
      <c r="F6" s="16">
        <v>9993934093</v>
      </c>
      <c r="G6" s="2">
        <v>6104</v>
      </c>
      <c r="H6" s="2" t="s">
        <v>100</v>
      </c>
      <c r="I6" s="15" t="s">
        <v>101</v>
      </c>
    </row>
    <row r="7" spans="1:9" s="9" customFormat="1" ht="50.1" customHeight="1">
      <c r="A7" s="26">
        <v>3</v>
      </c>
      <c r="B7" s="2">
        <v>26955</v>
      </c>
      <c r="C7" s="1" t="s">
        <v>198</v>
      </c>
      <c r="D7" s="2" t="s">
        <v>98</v>
      </c>
      <c r="E7" s="14">
        <v>43311</v>
      </c>
      <c r="F7" s="16">
        <v>9893087606</v>
      </c>
      <c r="G7" s="2">
        <v>6104</v>
      </c>
      <c r="H7" s="2" t="s">
        <v>245</v>
      </c>
      <c r="I7" s="15" t="s">
        <v>199</v>
      </c>
    </row>
    <row r="8" spans="1:9" s="9" customFormat="1" ht="50.1" customHeight="1">
      <c r="A8" s="26">
        <v>4</v>
      </c>
      <c r="B8" s="2">
        <v>604655</v>
      </c>
      <c r="C8" s="1" t="s">
        <v>238</v>
      </c>
      <c r="D8" s="2" t="s">
        <v>98</v>
      </c>
      <c r="E8" s="14">
        <v>43808</v>
      </c>
      <c r="F8" s="16" t="s">
        <v>239</v>
      </c>
      <c r="G8" s="2">
        <v>6191</v>
      </c>
      <c r="H8" s="2" t="s">
        <v>237</v>
      </c>
      <c r="I8" s="15" t="s">
        <v>240</v>
      </c>
    </row>
    <row r="9" spans="1:9" s="9" customFormat="1" ht="50.1" customHeight="1">
      <c r="A9" s="26">
        <v>5</v>
      </c>
      <c r="B9" s="2">
        <v>11287</v>
      </c>
      <c r="C9" s="1" t="s">
        <v>102</v>
      </c>
      <c r="D9" s="2" t="s">
        <v>103</v>
      </c>
      <c r="E9" s="14">
        <v>41519</v>
      </c>
      <c r="F9" s="16">
        <v>9425341872</v>
      </c>
      <c r="G9" s="2">
        <v>6143</v>
      </c>
      <c r="H9" s="2" t="s">
        <v>104</v>
      </c>
      <c r="I9" s="15" t="s">
        <v>105</v>
      </c>
    </row>
    <row r="10" spans="1:9" s="9" customFormat="1" ht="50.1" customHeight="1">
      <c r="A10" s="26">
        <v>6</v>
      </c>
      <c r="B10" s="2">
        <v>7471</v>
      </c>
      <c r="C10" s="1" t="s">
        <v>106</v>
      </c>
      <c r="D10" s="2" t="s">
        <v>107</v>
      </c>
      <c r="E10" s="14">
        <v>40787</v>
      </c>
      <c r="F10" s="16" t="s">
        <v>108</v>
      </c>
      <c r="G10" s="2">
        <v>6166</v>
      </c>
      <c r="H10" s="2" t="s">
        <v>109</v>
      </c>
      <c r="I10" s="15" t="s">
        <v>110</v>
      </c>
    </row>
    <row r="11" spans="1:9" s="9" customFormat="1" ht="50.1" customHeight="1">
      <c r="A11" s="26">
        <v>7</v>
      </c>
      <c r="B11" s="2">
        <v>8082</v>
      </c>
      <c r="C11" s="1" t="s">
        <v>111</v>
      </c>
      <c r="D11" s="2" t="s">
        <v>112</v>
      </c>
      <c r="E11" s="14">
        <v>40969</v>
      </c>
      <c r="F11" s="16">
        <v>9074575721</v>
      </c>
      <c r="G11" s="2">
        <v>6143</v>
      </c>
      <c r="H11" s="2" t="s">
        <v>113</v>
      </c>
      <c r="I11" s="15" t="s">
        <v>114</v>
      </c>
    </row>
    <row r="12" spans="1:9" s="9" customFormat="1" ht="50.1" customHeight="1">
      <c r="A12" s="26">
        <v>8</v>
      </c>
      <c r="B12" s="2">
        <v>14256</v>
      </c>
      <c r="C12" s="1" t="s">
        <v>115</v>
      </c>
      <c r="D12" s="2" t="s">
        <v>112</v>
      </c>
      <c r="E12" s="14">
        <v>42109</v>
      </c>
      <c r="F12" s="16" t="s">
        <v>116</v>
      </c>
      <c r="G12" s="2">
        <v>6143</v>
      </c>
      <c r="H12" s="2" t="s">
        <v>117</v>
      </c>
      <c r="I12" s="15" t="s">
        <v>118</v>
      </c>
    </row>
    <row r="13" spans="1:9" s="9" customFormat="1" ht="50.1" customHeight="1">
      <c r="A13" s="26">
        <v>9</v>
      </c>
      <c r="B13" s="2">
        <v>14396</v>
      </c>
      <c r="C13" s="1" t="s">
        <v>119</v>
      </c>
      <c r="D13" s="2" t="s">
        <v>112</v>
      </c>
      <c r="E13" s="14">
        <v>42156</v>
      </c>
      <c r="F13" s="16">
        <v>8827549203</v>
      </c>
      <c r="G13" s="2">
        <v>6143</v>
      </c>
      <c r="H13" s="2" t="s">
        <v>120</v>
      </c>
      <c r="I13" s="15" t="s">
        <v>121</v>
      </c>
    </row>
    <row r="14" spans="1:9" s="9" customFormat="1" ht="50.1" customHeight="1">
      <c r="A14" s="26">
        <v>10</v>
      </c>
      <c r="B14" s="2">
        <v>16475</v>
      </c>
      <c r="C14" s="1" t="s">
        <v>122</v>
      </c>
      <c r="D14" s="2" t="s">
        <v>123</v>
      </c>
      <c r="E14" s="14">
        <v>42541</v>
      </c>
      <c r="F14" s="16">
        <v>9993272081</v>
      </c>
      <c r="G14" s="2">
        <v>6143</v>
      </c>
      <c r="H14" s="2" t="s">
        <v>124</v>
      </c>
      <c r="I14" s="15" t="s">
        <v>125</v>
      </c>
    </row>
    <row r="15" spans="1:9" s="9" customFormat="1" ht="50.1" customHeight="1">
      <c r="A15" s="26">
        <v>11</v>
      </c>
      <c r="B15" s="2">
        <v>25819</v>
      </c>
      <c r="C15" s="1" t="s">
        <v>160</v>
      </c>
      <c r="D15" s="2" t="s">
        <v>162</v>
      </c>
      <c r="E15" s="14">
        <v>42950</v>
      </c>
      <c r="F15" s="16">
        <v>9039621892</v>
      </c>
      <c r="G15" s="2">
        <v>6143</v>
      </c>
      <c r="H15" s="2" t="s">
        <v>163</v>
      </c>
      <c r="I15" s="15" t="s">
        <v>97</v>
      </c>
    </row>
    <row r="16" spans="1:9" s="9" customFormat="1" ht="50.1" customHeight="1">
      <c r="A16" s="26">
        <v>12</v>
      </c>
      <c r="B16" s="2">
        <v>11871</v>
      </c>
      <c r="C16" s="1" t="s">
        <v>126</v>
      </c>
      <c r="D16" s="2" t="s">
        <v>127</v>
      </c>
      <c r="E16" s="14">
        <v>41666</v>
      </c>
      <c r="F16" s="16">
        <v>9425120323</v>
      </c>
      <c r="G16" s="2">
        <v>6439</v>
      </c>
      <c r="H16" s="2" t="s">
        <v>128</v>
      </c>
      <c r="I16" s="15" t="s">
        <v>129</v>
      </c>
    </row>
    <row r="17" spans="1:9" s="9" customFormat="1" ht="50.1" customHeight="1">
      <c r="A17" s="26">
        <v>13</v>
      </c>
      <c r="B17" s="2">
        <v>14285</v>
      </c>
      <c r="C17" s="1" t="s">
        <v>130</v>
      </c>
      <c r="D17" s="2" t="s">
        <v>131</v>
      </c>
      <c r="E17" s="14">
        <v>42115</v>
      </c>
      <c r="F17" s="16">
        <v>7898309177</v>
      </c>
      <c r="G17" s="2">
        <v>6340</v>
      </c>
      <c r="H17" s="2" t="s">
        <v>132</v>
      </c>
      <c r="I17" s="15" t="s">
        <v>133</v>
      </c>
    </row>
    <row r="18" spans="1:9" s="9" customFormat="1" ht="50.1" customHeight="1">
      <c r="A18" s="26">
        <v>14</v>
      </c>
      <c r="B18" s="2">
        <v>14255</v>
      </c>
      <c r="C18" s="1" t="s">
        <v>134</v>
      </c>
      <c r="D18" s="2" t="s">
        <v>131</v>
      </c>
      <c r="E18" s="14">
        <v>42109</v>
      </c>
      <c r="F18" s="16">
        <v>9302822774</v>
      </c>
      <c r="G18" s="2">
        <v>6340</v>
      </c>
      <c r="H18" s="2" t="s">
        <v>135</v>
      </c>
      <c r="I18" s="15" t="s">
        <v>136</v>
      </c>
    </row>
    <row r="19" spans="1:9" s="9" customFormat="1" ht="50.1" customHeight="1">
      <c r="A19" s="26">
        <v>15</v>
      </c>
      <c r="B19" s="2">
        <v>7469</v>
      </c>
      <c r="C19" s="1" t="s">
        <v>137</v>
      </c>
      <c r="D19" s="2" t="s">
        <v>138</v>
      </c>
      <c r="E19" s="14">
        <v>40787</v>
      </c>
      <c r="F19" s="16">
        <v>9926235431</v>
      </c>
      <c r="G19" s="2">
        <v>6158</v>
      </c>
      <c r="H19" s="2" t="s">
        <v>139</v>
      </c>
      <c r="I19" s="15" t="s">
        <v>140</v>
      </c>
    </row>
    <row r="20" spans="1:9" s="9" customFormat="1" ht="50.1" customHeight="1">
      <c r="A20" s="26">
        <v>16</v>
      </c>
      <c r="B20" s="2">
        <v>7472</v>
      </c>
      <c r="C20" s="1" t="s">
        <v>141</v>
      </c>
      <c r="D20" s="2" t="s">
        <v>142</v>
      </c>
      <c r="E20" s="14">
        <v>40791</v>
      </c>
      <c r="F20" s="16">
        <v>9827241672</v>
      </c>
      <c r="G20" s="2">
        <v>6159</v>
      </c>
      <c r="H20" s="2" t="s">
        <v>143</v>
      </c>
      <c r="I20" s="15" t="s">
        <v>144</v>
      </c>
    </row>
    <row r="21" spans="1:9" s="9" customFormat="1" ht="50.1" customHeight="1">
      <c r="A21" s="26">
        <v>17</v>
      </c>
      <c r="B21" s="2">
        <v>8985</v>
      </c>
      <c r="C21" s="1" t="s">
        <v>145</v>
      </c>
      <c r="D21" s="2" t="s">
        <v>146</v>
      </c>
      <c r="E21" s="14">
        <v>41164</v>
      </c>
      <c r="F21" s="16">
        <v>7389988693</v>
      </c>
      <c r="G21" s="2">
        <v>6342</v>
      </c>
      <c r="H21" s="2" t="s">
        <v>147</v>
      </c>
      <c r="I21" s="15" t="s">
        <v>148</v>
      </c>
    </row>
    <row r="22" spans="1:9" s="9" customFormat="1" ht="50.1" customHeight="1">
      <c r="A22" s="26">
        <v>18</v>
      </c>
      <c r="B22" s="2">
        <v>7473</v>
      </c>
      <c r="C22" s="1" t="s">
        <v>149</v>
      </c>
      <c r="D22" s="2" t="s">
        <v>150</v>
      </c>
      <c r="E22" s="14">
        <v>40798</v>
      </c>
      <c r="F22" s="16" t="s">
        <v>151</v>
      </c>
      <c r="G22" s="2">
        <v>6154</v>
      </c>
      <c r="H22" s="2" t="s">
        <v>152</v>
      </c>
      <c r="I22" s="15" t="s">
        <v>153</v>
      </c>
    </row>
    <row r="23" spans="1:9" s="9" customFormat="1" ht="50.1" customHeight="1">
      <c r="A23" s="26">
        <v>19</v>
      </c>
      <c r="B23" s="2">
        <v>303533</v>
      </c>
      <c r="C23" s="1" t="s">
        <v>212</v>
      </c>
      <c r="D23" s="2" t="s">
        <v>213</v>
      </c>
      <c r="E23" s="14">
        <v>43598</v>
      </c>
      <c r="F23" s="16">
        <v>7428734564</v>
      </c>
      <c r="G23" s="2">
        <v>6169</v>
      </c>
      <c r="H23" s="2" t="s">
        <v>250</v>
      </c>
      <c r="I23" s="15" t="s">
        <v>214</v>
      </c>
    </row>
  </sheetData>
  <mergeCells count="11">
    <mergeCell ref="A1:I1"/>
    <mergeCell ref="A2:I2"/>
    <mergeCell ref="E3:E4"/>
    <mergeCell ref="A3:A4"/>
    <mergeCell ref="B3:B4"/>
    <mergeCell ref="C3:C4"/>
    <mergeCell ref="D3:D4"/>
    <mergeCell ref="G3:G4"/>
    <mergeCell ref="F3:F4"/>
    <mergeCell ref="H3:H4"/>
    <mergeCell ref="I3:I4"/>
  </mergeCells>
  <hyperlinks>
    <hyperlink ref="H20" r:id="rId1"/>
    <hyperlink ref="H11" r:id="rId2"/>
    <hyperlink ref="H18" r:id="rId3"/>
    <hyperlink ref="H6" r:id="rId4"/>
    <hyperlink ref="H7" r:id="rId5"/>
    <hyperlink ref="H23" r:id="rId6"/>
  </hyperlinks>
  <printOptions horizontalCentered="1"/>
  <pageMargins left="0.19685039370078741" right="0.19685039370078741" top="0.19685039370078741" bottom="0.15748031496062992" header="0.19685039370078741" footer="0.15748031496062992"/>
  <pageSetup paperSize="9" scale="75" orientation="landscape" verticalDpi="200" r:id="rId7"/>
</worksheet>
</file>

<file path=xl/worksheets/sheet4.xml><?xml version="1.0" encoding="utf-8"?>
<worksheet xmlns="http://schemas.openxmlformats.org/spreadsheetml/2006/main" xmlns:r="http://schemas.openxmlformats.org/officeDocument/2006/relationships">
  <dimension ref="C1:D9"/>
  <sheetViews>
    <sheetView workbookViewId="0">
      <selection activeCell="I5" sqref="I5"/>
    </sheetView>
  </sheetViews>
  <sheetFormatPr defaultRowHeight="15"/>
  <cols>
    <col min="3" max="3" width="14.140625" bestFit="1" customWidth="1"/>
  </cols>
  <sheetData>
    <row r="1" spans="3:4">
      <c r="C1" s="80" t="s">
        <v>274</v>
      </c>
      <c r="D1" s="82">
        <v>1</v>
      </c>
    </row>
    <row r="2" spans="3:4">
      <c r="C2" s="80" t="s">
        <v>174</v>
      </c>
      <c r="D2" s="82">
        <v>18</v>
      </c>
    </row>
    <row r="3" spans="3:4">
      <c r="C3" s="80" t="s">
        <v>175</v>
      </c>
      <c r="D3" s="82">
        <v>7</v>
      </c>
    </row>
    <row r="4" spans="3:4">
      <c r="C4" s="80" t="s">
        <v>172</v>
      </c>
      <c r="D4" s="82">
        <v>6</v>
      </c>
    </row>
    <row r="5" spans="3:4">
      <c r="C5" s="80" t="s">
        <v>270</v>
      </c>
      <c r="D5" s="82">
        <v>6</v>
      </c>
    </row>
    <row r="6" spans="3:4">
      <c r="C6" s="80" t="s">
        <v>271</v>
      </c>
      <c r="D6" s="82">
        <v>3</v>
      </c>
    </row>
    <row r="7" spans="3:4">
      <c r="C7" s="80" t="s">
        <v>272</v>
      </c>
      <c r="D7" s="82">
        <v>2</v>
      </c>
    </row>
    <row r="8" spans="3:4">
      <c r="C8" s="80" t="s">
        <v>273</v>
      </c>
      <c r="D8" s="82">
        <v>4</v>
      </c>
    </row>
    <row r="9" spans="3:4">
      <c r="C9" s="81" t="s">
        <v>275</v>
      </c>
      <c r="D9" s="83">
        <f>SUM(D1:D8)</f>
        <v>47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3:D8"/>
  <sheetViews>
    <sheetView workbookViewId="0">
      <selection activeCell="A3" sqref="A3:D8"/>
    </sheetView>
  </sheetViews>
  <sheetFormatPr defaultRowHeight="15"/>
  <cols>
    <col min="2" max="2" width="18.28515625" customWidth="1"/>
    <col min="3" max="3" width="22.85546875" customWidth="1"/>
  </cols>
  <sheetData>
    <row r="3" spans="1:4" ht="31.5">
      <c r="A3" s="82">
        <v>1</v>
      </c>
      <c r="B3" s="4" t="s">
        <v>4</v>
      </c>
      <c r="C3" s="6" t="s">
        <v>280</v>
      </c>
      <c r="D3" s="23" t="s">
        <v>174</v>
      </c>
    </row>
    <row r="4" spans="1:4" ht="31.5">
      <c r="A4" s="82">
        <v>2</v>
      </c>
      <c r="B4" s="4" t="s">
        <v>5</v>
      </c>
      <c r="C4" s="6" t="s">
        <v>280</v>
      </c>
      <c r="D4" s="23" t="s">
        <v>174</v>
      </c>
    </row>
    <row r="5" spans="1:4" ht="15.75">
      <c r="A5" s="82">
        <v>3</v>
      </c>
      <c r="B5" s="3" t="s">
        <v>7</v>
      </c>
      <c r="C5" s="6" t="s">
        <v>280</v>
      </c>
      <c r="D5" s="23" t="s">
        <v>174</v>
      </c>
    </row>
    <row r="6" spans="1:4" ht="31.5">
      <c r="A6" s="82">
        <v>4</v>
      </c>
      <c r="B6" s="4" t="s">
        <v>12</v>
      </c>
      <c r="C6" s="6" t="s">
        <v>280</v>
      </c>
      <c r="D6" s="23" t="s">
        <v>174</v>
      </c>
    </row>
    <row r="7" spans="1:4" ht="31.5">
      <c r="A7" s="82">
        <v>5</v>
      </c>
      <c r="B7" s="4" t="s">
        <v>279</v>
      </c>
      <c r="C7" s="6" t="s">
        <v>185</v>
      </c>
      <c r="D7" s="23" t="s">
        <v>174</v>
      </c>
    </row>
    <row r="8" spans="1:4" ht="15.75">
      <c r="A8" s="82">
        <v>6</v>
      </c>
      <c r="B8" s="4" t="s">
        <v>261</v>
      </c>
      <c r="C8" s="6" t="s">
        <v>185</v>
      </c>
      <c r="D8" s="23" t="s">
        <v>174</v>
      </c>
    </row>
  </sheetData>
  <conditionalFormatting sqref="D3:D8">
    <cfRule type="containsBlanks" dxfId="5" priority="1">
      <formula>LEN(TRIM(D3))=0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 verificate team </vt:lpstr>
      <vt:lpstr>Active Teaching</vt:lpstr>
      <vt:lpstr>Non Teaching</vt:lpstr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Singh</dc:creator>
  <cp:lastModifiedBy>Krishna</cp:lastModifiedBy>
  <cp:lastPrinted>2020-02-10T08:34:21Z</cp:lastPrinted>
  <dcterms:created xsi:type="dcterms:W3CDTF">2016-10-03T08:48:26Z</dcterms:created>
  <dcterms:modified xsi:type="dcterms:W3CDTF">2020-11-20T16:39:57Z</dcterms:modified>
</cp:coreProperties>
</file>